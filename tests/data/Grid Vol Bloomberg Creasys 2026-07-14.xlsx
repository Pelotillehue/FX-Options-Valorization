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vasacl-my.sharepoint.com/personal/ibarrera_nevasa_cl/Documents/Mis Documentos/IBS/Opciones FX/"/>
    </mc:Choice>
  </mc:AlternateContent>
  <xr:revisionPtr revIDLastSave="858" documentId="8_{A177E8DA-D5E4-4C18-B16F-9BA88137DA4C}" xr6:coauthVersionLast="47" xr6:coauthVersionMax="47" xr10:uidLastSave="{3D793489-D595-4CA9-B9CE-16ED4E337B09}"/>
  <bookViews>
    <workbookView xWindow="1335" yWindow="1125" windowWidth="25665" windowHeight="14160" activeTab="3" xr2:uid="{081C7814-2703-42A5-9FD3-B7384BCDC2DF}"/>
  </bookViews>
  <sheets>
    <sheet name="Bid_Ask" sheetId="1" r:id="rId1"/>
    <sheet name="Mids BGN" sheetId="3" r:id="rId2"/>
    <sheet name="Mids GFI" sheetId="4" r:id="rId3"/>
    <sheet name="FWD pts DEPOs" sheetId="2" r:id="rId4"/>
    <sheet name="EURUS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2" l="1" a="1"/>
  <c r="B51" i="2" a="1"/>
  <c r="B37" i="2" a="1"/>
  <c r="B38" i="2" a="1"/>
  <c r="B42" i="2" a="1"/>
  <c r="B46" i="2" a="1"/>
  <c r="B31" i="2" a="1"/>
  <c r="B48" i="2" a="1"/>
  <c r="B32" i="2" a="1"/>
  <c r="B50" i="2" a="1"/>
  <c r="B34" i="2" a="1"/>
  <c r="B47" i="2" a="1"/>
  <c r="B43" i="2" a="1"/>
  <c r="B33" i="2" a="1"/>
  <c r="B44" i="2" a="1"/>
  <c r="B41" i="2" a="1"/>
  <c r="B45" i="2" a="1"/>
  <c r="B49" i="2" a="1"/>
  <c r="B36" i="2" a="1"/>
  <c r="B35" i="2" a="1"/>
  <c r="B52" i="2" a="1"/>
  <c r="B40" i="2" a="1"/>
  <c r="B28" i="2" l="1"/>
  <c r="Y28" i="4"/>
  <c r="X28" i="4"/>
  <c r="N2" i="4"/>
  <c r="N1" i="4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1" i="1"/>
  <c r="AD3" i="1"/>
  <c r="S2" i="1"/>
  <c r="T2" i="1"/>
  <c r="T1" i="1"/>
  <c r="S1" i="1"/>
  <c r="N2" i="3"/>
  <c r="N1" i="3"/>
  <c r="Y28" i="3"/>
  <c r="X28" i="3"/>
  <c r="J16" i="1" a="1"/>
  <c r="E13" i="2" a="1"/>
  <c r="P14" i="2" a="1"/>
  <c r="J14" i="1" a="1"/>
  <c r="N10" i="2" a="1"/>
  <c r="L8" i="1" a="1"/>
  <c r="I15" i="4" a="1"/>
  <c r="O3" i="2" a="1"/>
  <c r="N3" i="1" a="1"/>
  <c r="P13" i="2" a="1"/>
  <c r="D24" i="2" a="1"/>
  <c r="L10" i="1" a="1"/>
  <c r="O7" i="1" a="1"/>
  <c r="G46" i="2"/>
  <c r="E16" i="2" a="1"/>
  <c r="E14" i="5" a="1"/>
  <c r="N7" i="1" a="1"/>
  <c r="I7" i="4" a="1"/>
  <c r="P13" i="1" a="1"/>
  <c r="P14" i="1" a="1"/>
  <c r="K7" i="4" a="1"/>
  <c r="G7" i="4" a="1"/>
  <c r="H17" i="3" a="1"/>
  <c r="O15" i="1" a="1"/>
  <c r="L11" i="1" a="1"/>
  <c r="G18" i="4" a="1"/>
  <c r="I15" i="3" a="1"/>
  <c r="H18" i="3" a="1"/>
  <c r="J12" i="4" a="1"/>
  <c r="G6" i="5" a="1"/>
  <c r="I5" i="3" a="1"/>
  <c r="F45" i="2"/>
  <c r="P20" i="1" a="1"/>
  <c r="G15" i="3" a="1"/>
  <c r="E10" i="2" a="1"/>
  <c r="I3" i="1" a="1"/>
  <c r="M17" i="1" a="1"/>
  <c r="G49" i="2"/>
  <c r="G21" i="4" a="1"/>
  <c r="G40" i="2"/>
  <c r="O13" i="1" a="1"/>
  <c r="O11" i="2" a="1"/>
  <c r="D9" i="5" a="1"/>
  <c r="G3" i="3" a="1"/>
  <c r="P3" i="1" a="1"/>
  <c r="N13" i="1" a="1"/>
  <c r="K20" i="1" a="1"/>
  <c r="F30" i="2"/>
  <c r="K18" i="3" a="1"/>
  <c r="E40" i="2"/>
  <c r="N11" i="2" a="1"/>
  <c r="E27" i="5" a="1"/>
  <c r="E24" i="5" a="1"/>
  <c r="J11" i="1" a="1"/>
  <c r="O20" i="1" a="1"/>
  <c r="N17" i="1" a="1"/>
  <c r="E26" i="5" a="1"/>
  <c r="F39" i="2"/>
  <c r="J7" i="4" a="1"/>
  <c r="E47" i="2"/>
  <c r="P18" i="1" a="1"/>
  <c r="E37" i="2"/>
  <c r="D10" i="5" a="1"/>
  <c r="C9" i="2" a="1"/>
  <c r="E20" i="5" a="1"/>
  <c r="D15" i="5" a="1"/>
  <c r="C3" i="2" a="1"/>
  <c r="O5" i="1" a="1"/>
  <c r="D11" i="5" a="1"/>
  <c r="C21" i="2" a="1"/>
  <c r="P4" i="2" a="1"/>
  <c r="C15" i="2" a="1"/>
  <c r="K5" i="3" a="1"/>
  <c r="C11" i="5" a="1"/>
  <c r="D12" i="2" a="1"/>
  <c r="N10" i="1" a="1"/>
  <c r="K4" i="1" a="1"/>
  <c r="G16" i="1" a="1"/>
  <c r="F40" i="2"/>
  <c r="F35" i="2"/>
  <c r="M5" i="1" a="1"/>
  <c r="D16" i="2" a="1"/>
  <c r="G8" i="4" a="1"/>
  <c r="C14" i="5" a="1"/>
  <c r="C13" i="2" a="1"/>
  <c r="P9" i="1" a="1"/>
  <c r="C11" i="2" a="1"/>
  <c r="E5" i="5" a="1"/>
  <c r="I6" i="1" a="1"/>
  <c r="K5" i="4" a="1"/>
  <c r="G17" i="4" a="1"/>
  <c r="M4" i="1" a="1"/>
  <c r="M14" i="1" a="1"/>
  <c r="H7" i="4" a="1"/>
  <c r="F37" i="2"/>
  <c r="G7" i="3" a="1"/>
  <c r="N5" i="2" a="1"/>
  <c r="C24" i="2" a="1"/>
  <c r="E4" i="5" a="1"/>
  <c r="K13" i="4" a="1"/>
  <c r="K7" i="3" a="1"/>
  <c r="C27" i="5" a="1"/>
  <c r="J9" i="3" a="1"/>
  <c r="H13" i="1" a="1"/>
  <c r="E38" i="2"/>
  <c r="G11" i="4" a="1"/>
  <c r="I19" i="1" a="1"/>
  <c r="D14" i="2" a="1"/>
  <c r="L14" i="1" a="1"/>
  <c r="I13" i="3" a="1"/>
  <c r="J11" i="4" a="1"/>
  <c r="C22" i="2" a="1"/>
  <c r="J16" i="3" a="1"/>
  <c r="C7" i="2" a="1"/>
  <c r="E50" i="2"/>
  <c r="D10" i="2" a="1"/>
  <c r="D22" i="2" a="1"/>
  <c r="K15" i="1" a="1"/>
  <c r="E24" i="2" a="1"/>
  <c r="J4" i="1" a="1"/>
  <c r="I5" i="4" a="1"/>
  <c r="C16" i="5" a="1"/>
  <c r="K7" i="1" a="1"/>
  <c r="I7" i="3" a="1"/>
  <c r="D24" i="5" a="1"/>
  <c r="D25" i="5" a="1"/>
  <c r="D17" i="5" a="1"/>
  <c r="R3" i="2" a="1"/>
  <c r="D3" i="2" a="1"/>
  <c r="G5" i="1" a="1"/>
  <c r="C17" i="2" a="1"/>
  <c r="P21" i="1" a="1"/>
  <c r="G39" i="2"/>
  <c r="I12" i="4" a="1"/>
  <c r="H9" i="1" a="1"/>
  <c r="J10" i="1" a="1"/>
  <c r="E51" i="2"/>
  <c r="G19" i="1" a="1"/>
  <c r="H5" i="1" a="1"/>
  <c r="L9" i="1" a="1"/>
  <c r="D7" i="5" a="1"/>
  <c r="G10" i="3" a="1"/>
  <c r="E23" i="2" a="1"/>
  <c r="E8" i="5" a="1"/>
  <c r="G30" i="2"/>
  <c r="L17" i="1" a="1"/>
  <c r="I9" i="4" a="1"/>
  <c r="O19" i="1" a="1"/>
  <c r="N8" i="1" a="1"/>
  <c r="J12" i="3" a="1"/>
  <c r="E23" i="5" a="1"/>
  <c r="H15" i="4" a="1"/>
  <c r="E33" i="2"/>
  <c r="E36" i="2"/>
  <c r="K16" i="4" a="1"/>
  <c r="E41" i="2"/>
  <c r="C21" i="5" a="1"/>
  <c r="I18" i="4" a="1"/>
  <c r="G4" i="4" a="1"/>
  <c r="E48" i="2"/>
  <c r="O4" i="2" a="1"/>
  <c r="I15" i="1" a="1"/>
  <c r="E30" i="2"/>
  <c r="F50" i="2"/>
  <c r="K6" i="3" a="1"/>
  <c r="E12" i="5" a="1"/>
  <c r="I21" i="3" a="1"/>
  <c r="K12" i="1" a="1"/>
  <c r="S3" i="2" a="1"/>
  <c r="C18" i="2" a="1"/>
  <c r="C12" i="5" a="1"/>
  <c r="C28" i="5" a="1"/>
  <c r="M10" i="1" a="1"/>
  <c r="H7" i="1" a="1"/>
  <c r="G20" i="3" a="1"/>
  <c r="N12" i="1" a="1"/>
  <c r="P8" i="2" a="1"/>
  <c r="F46" i="2"/>
  <c r="P16" i="2" a="1"/>
  <c r="C25" i="5" a="1"/>
  <c r="C17" i="5" a="1"/>
  <c r="G5" i="4" a="1"/>
  <c r="E32" i="2"/>
  <c r="J21" i="4" a="1"/>
  <c r="E45" i="2"/>
  <c r="I16" i="3" a="1"/>
  <c r="G38" i="2"/>
  <c r="J3" i="3" a="1"/>
  <c r="K21" i="3" a="1"/>
  <c r="D12" i="5" a="1"/>
  <c r="D16" i="5" a="1"/>
  <c r="E17" i="2" a="1"/>
  <c r="I17" i="4" a="1"/>
  <c r="M7" i="1" a="1"/>
  <c r="H4" i="4" a="1"/>
  <c r="D26" i="5" a="1"/>
  <c r="H11" i="3" a="1"/>
  <c r="K15" i="3" a="1"/>
  <c r="O14" i="2" a="1"/>
  <c r="J3" i="1" a="1"/>
  <c r="H8" i="4" a="1"/>
  <c r="G32" i="2"/>
  <c r="H16" i="4" a="1"/>
  <c r="K3" i="4" a="1"/>
  <c r="P16" i="1" a="1"/>
  <c r="H11" i="1" a="1"/>
  <c r="J15" i="4" a="1"/>
  <c r="E9" i="5" a="1"/>
  <c r="C12" i="2" a="1"/>
  <c r="D5" i="5" a="1"/>
  <c r="F52" i="2"/>
  <c r="O6" i="1" a="1"/>
  <c r="M3" i="1" a="1"/>
  <c r="H13" i="3" a="1"/>
  <c r="I11" i="3" a="1"/>
  <c r="J10" i="3" a="1"/>
  <c r="E49" i="2"/>
  <c r="E18" i="5" a="1"/>
  <c r="K19" i="4" a="1"/>
  <c r="E9" i="2" a="1"/>
  <c r="H10" i="3" a="1"/>
  <c r="G10" i="1" a="1"/>
  <c r="G47" i="2"/>
  <c r="H14" i="3" a="1"/>
  <c r="K18" i="4" a="1"/>
  <c r="G13" i="1" a="1"/>
  <c r="J19" i="3" a="1"/>
  <c r="I10" i="1" a="1"/>
  <c r="F41" i="2"/>
  <c r="L21" i="1" a="1"/>
  <c r="G14" i="1" a="1"/>
  <c r="D5" i="2" a="1"/>
  <c r="G31" i="2" a="1"/>
  <c r="H3" i="4" a="1"/>
  <c r="L12" i="1" a="1"/>
  <c r="E6" i="2" a="1"/>
  <c r="H4" i="1" a="1"/>
  <c r="F31" i="2" a="1"/>
  <c r="M18" i="1" a="1"/>
  <c r="G15" i="4" a="1"/>
  <c r="G42" i="2"/>
  <c r="D4" i="5" a="1"/>
  <c r="D8" i="2" a="1"/>
  <c r="K21" i="4" a="1"/>
  <c r="M15" i="1" a="1"/>
  <c r="I13" i="4" a="1"/>
  <c r="K11" i="1" a="1"/>
  <c r="H19" i="4" a="1"/>
  <c r="D4" i="2" a="1"/>
  <c r="C18" i="5" a="1"/>
  <c r="H21" i="3" a="1"/>
  <c r="H21" i="4" a="1"/>
  <c r="I3" i="4" a="1"/>
  <c r="H19" i="1" a="1"/>
  <c r="F49" i="2"/>
  <c r="I4" i="1" a="1"/>
  <c r="G34" i="2"/>
  <c r="I12" i="3" a="1"/>
  <c r="N11" i="1" a="1"/>
  <c r="H3" i="1" a="1"/>
  <c r="M21" i="1" a="1"/>
  <c r="K8" i="4" a="1"/>
  <c r="N21" i="1" a="1"/>
  <c r="P15" i="1" a="1"/>
  <c r="O10" i="2" a="1"/>
  <c r="H10" i="1" a="1"/>
  <c r="G9" i="3" a="1"/>
  <c r="K16" i="1" a="1"/>
  <c r="E7" i="2" a="1"/>
  <c r="I10" i="3" a="1"/>
  <c r="G14" i="3" a="1"/>
  <c r="E31" i="2" a="1"/>
  <c r="E44" i="2"/>
  <c r="C4" i="5" a="1"/>
  <c r="I5" i="1" a="1"/>
  <c r="H6" i="3" a="1"/>
  <c r="K8" i="3" a="1"/>
  <c r="I20" i="1" a="1"/>
  <c r="I9" i="3" a="1"/>
  <c r="G8" i="3" a="1"/>
  <c r="G21" i="3" a="1"/>
  <c r="C24" i="5" a="1"/>
  <c r="J8" i="4" a="1"/>
  <c r="G20" i="1" a="1"/>
  <c r="G3" i="4" a="1"/>
  <c r="D28" i="5" a="1"/>
  <c r="I12" i="1" a="1"/>
  <c r="G35" i="2"/>
  <c r="H9" i="3" a="1"/>
  <c r="G20" i="4" a="1"/>
  <c r="I14" i="1" a="1"/>
  <c r="G18" i="1" a="1"/>
  <c r="J17" i="3" a="1"/>
  <c r="H20" i="1" a="1"/>
  <c r="D20" i="2" a="1"/>
  <c r="J16" i="4" a="1"/>
  <c r="O12" i="2" a="1"/>
  <c r="J17" i="1" a="1"/>
  <c r="H5" i="4" a="1"/>
  <c r="E16" i="5" a="1"/>
  <c r="K17" i="1" a="1"/>
  <c r="G17" i="3" a="1"/>
  <c r="P6" i="2" a="1"/>
  <c r="H3" i="2" a="1"/>
  <c r="C8" i="2" a="1"/>
  <c r="C23" i="2" a="1"/>
  <c r="K12" i="3" a="1"/>
  <c r="I14" i="3" a="1"/>
  <c r="H15" i="3" a="1"/>
  <c r="K20" i="3" a="1"/>
  <c r="J7" i="1" a="1"/>
  <c r="N4" i="1" a="1"/>
  <c r="P6" i="1" a="1"/>
  <c r="O13" i="2" a="1"/>
  <c r="D9" i="2" a="1"/>
  <c r="D21" i="2" a="1"/>
  <c r="I18" i="1" a="1"/>
  <c r="H9" i="4" a="1"/>
  <c r="E20" i="2" a="1"/>
  <c r="J4" i="4" a="1"/>
  <c r="I16" i="1" a="1"/>
  <c r="N13" i="2" a="1"/>
  <c r="D23" i="2" a="1"/>
  <c r="E13" i="5" a="1"/>
  <c r="I11" i="1" a="1"/>
  <c r="I19" i="3" a="1"/>
  <c r="I3" i="3" a="1"/>
  <c r="G19" i="4" a="1"/>
  <c r="O8" i="1" a="1"/>
  <c r="J21" i="3" a="1"/>
  <c r="C7" i="5" a="1"/>
  <c r="D11" i="2" a="1"/>
  <c r="D19" i="5" a="1"/>
  <c r="O21" i="1" a="1"/>
  <c r="C16" i="2" a="1"/>
  <c r="J6" i="1" a="1"/>
  <c r="J20" i="1" a="1"/>
  <c r="E34" i="2"/>
  <c r="P10" i="2" a="1"/>
  <c r="E21" i="2" a="1"/>
  <c r="N3" i="2" a="1"/>
  <c r="D13" i="2" a="1"/>
  <c r="H12" i="4" a="1"/>
  <c r="G48" i="2"/>
  <c r="N14" i="2" a="1"/>
  <c r="K5" i="1" a="1"/>
  <c r="H6" i="1" a="1"/>
  <c r="F44" i="2"/>
  <c r="H13" i="4" a="1"/>
  <c r="D20" i="5" a="1"/>
  <c r="D23" i="5" a="1"/>
  <c r="O10" i="1" a="1"/>
  <c r="G5" i="3" a="1"/>
  <c r="G3" i="2" a="1"/>
  <c r="I7" i="1" a="1"/>
  <c r="D18" i="2" a="1"/>
  <c r="I20" i="4" a="1"/>
  <c r="K18" i="1" a="1"/>
  <c r="F43" i="2"/>
  <c r="N9" i="1" a="1"/>
  <c r="O5" i="2" a="1"/>
  <c r="D15" i="2" a="1"/>
  <c r="G11" i="3" a="1"/>
  <c r="G41" i="2"/>
  <c r="J8" i="3" a="1"/>
  <c r="O4" i="1" a="1"/>
  <c r="K19" i="3" a="1"/>
  <c r="G16" i="3" a="1"/>
  <c r="O18" i="1" a="1"/>
  <c r="N5" i="1" a="1"/>
  <c r="J15" i="1" a="1"/>
  <c r="H18" i="4" a="1"/>
  <c r="I17" i="3" a="1"/>
  <c r="H17" i="1" a="1"/>
  <c r="E10" i="5" a="1"/>
  <c r="D6" i="2" a="1"/>
  <c r="O6" i="2" a="1"/>
  <c r="H18" i="1" a="1"/>
  <c r="M13" i="1" a="1"/>
  <c r="G12" i="1" a="1"/>
  <c r="F47" i="2"/>
  <c r="N20" i="1" a="1"/>
  <c r="C5" i="5" a="1"/>
  <c r="E39" i="2"/>
  <c r="J19" i="1" a="1"/>
  <c r="P5" i="1" a="1"/>
  <c r="J9" i="4" a="1"/>
  <c r="I21" i="4" a="1"/>
  <c r="E11" i="5" a="1"/>
  <c r="E12" i="2" a="1"/>
  <c r="G8" i="1" a="1"/>
  <c r="L20" i="1" a="1"/>
  <c r="J11" i="3" a="1"/>
  <c r="I9" i="1" a="1"/>
  <c r="K14" i="3" a="1"/>
  <c r="M8" i="1" a="1"/>
  <c r="D8" i="5" a="1"/>
  <c r="M20" i="1" a="1"/>
  <c r="E43" i="2"/>
  <c r="H14" i="1" a="1"/>
  <c r="G36" i="2"/>
  <c r="N6" i="2" a="1"/>
  <c r="K11" i="4" a="1"/>
  <c r="G33" i="2"/>
  <c r="N9" i="2" a="1"/>
  <c r="D19" i="2" a="1"/>
  <c r="D22" i="5" a="1"/>
  <c r="J5" i="3" a="1"/>
  <c r="E46" i="2"/>
  <c r="N14" i="1" a="1"/>
  <c r="G52" i="2"/>
  <c r="H8" i="1" a="1"/>
  <c r="P12" i="1" a="1"/>
  <c r="J13" i="1" a="1"/>
  <c r="N19" i="1" a="1"/>
  <c r="G7" i="1" a="1"/>
  <c r="G4" i="1" a="1"/>
  <c r="C14" i="2" a="1"/>
  <c r="P19" i="1" a="1"/>
  <c r="P12" i="2" a="1"/>
  <c r="L4" i="1" a="1"/>
  <c r="K10" i="3" a="1"/>
  <c r="E15" i="5" a="1"/>
  <c r="O9" i="1" a="1"/>
  <c r="C19" i="2" a="1"/>
  <c r="J17" i="4" a="1"/>
  <c r="N16" i="1" a="1"/>
  <c r="L6" i="1" a="1"/>
  <c r="J3" i="4" a="1"/>
  <c r="N15" i="2" a="1"/>
  <c r="M6" i="1" a="1"/>
  <c r="H12" i="3" a="1"/>
  <c r="I8" i="4" a="1"/>
  <c r="K17" i="3" a="1"/>
  <c r="J14" i="3" a="1"/>
  <c r="G6" i="3" a="1"/>
  <c r="J5" i="1" a="1"/>
  <c r="L7" i="1" a="1"/>
  <c r="J5" i="4" a="1"/>
  <c r="H3" i="3" a="1"/>
  <c r="M9" i="1" a="1"/>
  <c r="E28" i="5" a="1"/>
  <c r="H19" i="3" a="1"/>
  <c r="H4" i="3" a="1"/>
  <c r="K8" i="1" a="1"/>
  <c r="H15" i="1" a="1"/>
  <c r="G12" i="3" a="1"/>
  <c r="J19" i="4" a="1"/>
  <c r="H5" i="3" a="1"/>
  <c r="G51" i="2"/>
  <c r="F36" i="2"/>
  <c r="F51" i="2"/>
  <c r="K10" i="1" a="1"/>
  <c r="H21" i="1" a="1"/>
  <c r="I18" i="3" a="1"/>
  <c r="E7" i="5" a="1"/>
  <c r="D21" i="5" a="1"/>
  <c r="J6" i="3" a="1"/>
  <c r="H8" i="3" a="1"/>
  <c r="P10" i="1" a="1"/>
  <c r="E22" i="2" a="1"/>
  <c r="K13" i="1" a="1"/>
  <c r="J8" i="1" a="1"/>
  <c r="K4" i="3" a="1"/>
  <c r="C8" i="5" a="1"/>
  <c r="H16" i="1" a="1"/>
  <c r="J13" i="3" a="1"/>
  <c r="P3" i="2" a="1"/>
  <c r="K4" i="4" a="1"/>
  <c r="Q3" i="2" a="1"/>
  <c r="O16" i="1" a="1"/>
  <c r="C26" i="5" a="1"/>
  <c r="J20" i="4" a="1"/>
  <c r="L5" i="1" a="1"/>
  <c r="G50" i="2"/>
  <c r="J7" i="3" a="1"/>
  <c r="K6" i="1" a="1"/>
  <c r="H11" i="4" a="1"/>
  <c r="H6" i="5" a="1"/>
  <c r="P9" i="2" a="1"/>
  <c r="C19" i="5" a="1"/>
  <c r="L3" i="1" a="1"/>
  <c r="L18" i="1" a="1"/>
  <c r="I4" i="4" a="1"/>
  <c r="K20" i="4" a="1"/>
  <c r="G19" i="3" a="1"/>
  <c r="E52" i="2"/>
  <c r="C15" i="5" a="1"/>
  <c r="C20" i="5" a="1"/>
  <c r="M12" i="1" a="1"/>
  <c r="M19" i="1" a="1"/>
  <c r="F32" i="2"/>
  <c r="G9" i="1" a="1"/>
  <c r="J9" i="1" a="1"/>
  <c r="C23" i="5" a="1"/>
  <c r="J18" i="1" a="1"/>
  <c r="E42" i="2"/>
  <c r="M11" i="1" a="1"/>
  <c r="P7" i="2" a="1"/>
  <c r="H16" i="3" a="1"/>
  <c r="D14" i="5" a="1"/>
  <c r="G18" i="3" a="1"/>
  <c r="I4" i="3" a="1"/>
  <c r="C4" i="2" a="1"/>
  <c r="I11" i="4" a="1"/>
  <c r="O16" i="2" a="1"/>
  <c r="D17" i="2" a="1"/>
  <c r="J18" i="3" a="1"/>
  <c r="L15" i="1" a="1"/>
  <c r="J20" i="3" a="1"/>
  <c r="C20" i="2" a="1"/>
  <c r="E18" i="2" a="1"/>
  <c r="D13" i="5" a="1"/>
  <c r="H20" i="3" a="1"/>
  <c r="C10" i="5" a="1"/>
  <c r="G17" i="1" a="1"/>
  <c r="C13" i="5" a="1"/>
  <c r="C10" i="2" a="1"/>
  <c r="F38" i="2"/>
  <c r="G4" i="3" a="1"/>
  <c r="L19" i="1" a="1"/>
  <c r="K11" i="3" a="1"/>
  <c r="K16" i="3" a="1"/>
  <c r="P15" i="2" a="1"/>
  <c r="K15" i="4" a="1"/>
  <c r="G3" i="1" a="1"/>
  <c r="P11" i="1" a="1"/>
  <c r="P4" i="1" a="1"/>
  <c r="J21" i="1" a="1"/>
  <c r="G45" i="2"/>
  <c r="P8" i="1" a="1"/>
  <c r="I19" i="4" a="1"/>
  <c r="G16" i="4" a="1"/>
  <c r="H7" i="3" a="1"/>
  <c r="K9" i="1" a="1"/>
  <c r="O3" i="1" a="1"/>
  <c r="J13" i="4" a="1"/>
  <c r="K12" i="4" a="1"/>
  <c r="N8" i="2" a="1"/>
  <c r="P17" i="1" a="1"/>
  <c r="K3" i="1" a="1"/>
  <c r="N7" i="2" a="1"/>
  <c r="D7" i="2" a="1"/>
  <c r="N16" i="2" a="1"/>
  <c r="K21" i="1" a="1"/>
  <c r="E22" i="5" a="1"/>
  <c r="G9" i="4" a="1"/>
  <c r="C22" i="5" a="1"/>
  <c r="G13" i="3" a="1"/>
  <c r="G12" i="4" a="1"/>
  <c r="N18" i="1" a="1"/>
  <c r="E3" i="2" a="1"/>
  <c r="F48" i="2"/>
  <c r="N15" i="1" a="1"/>
  <c r="F33" i="2"/>
  <c r="I17" i="1" a="1"/>
  <c r="K14" i="1" a="1"/>
  <c r="O9" i="2" a="1"/>
  <c r="F3" i="2" a="1"/>
  <c r="O8" i="2" a="1"/>
  <c r="I8" i="1" a="1"/>
  <c r="O7" i="2" a="1"/>
  <c r="O11" i="1" a="1"/>
  <c r="E15" i="2" a="1"/>
  <c r="O15" i="2" a="1"/>
  <c r="I13" i="1" a="1"/>
  <c r="E14" i="2" a="1"/>
  <c r="E4" i="2" a="1"/>
  <c r="P5" i="2" a="1"/>
  <c r="J12" i="1" a="1"/>
  <c r="E21" i="5" a="1"/>
  <c r="K9" i="4" a="1"/>
  <c r="C5" i="2" a="1"/>
  <c r="H17" i="4" a="1"/>
  <c r="K3" i="3" a="1"/>
  <c r="O14" i="1" a="1"/>
  <c r="K9" i="3" a="1"/>
  <c r="G15" i="1" a="1"/>
  <c r="I8" i="3" a="1"/>
  <c r="J18" i="4" a="1"/>
  <c r="F42" i="2"/>
  <c r="I6" i="3" a="1"/>
  <c r="N6" i="1" a="1"/>
  <c r="K19" i="1" a="1"/>
  <c r="O17" i="1" a="1"/>
  <c r="O12" i="1" a="1"/>
  <c r="D27" i="5" a="1"/>
  <c r="G43" i="2"/>
  <c r="P11" i="2" a="1"/>
  <c r="L13" i="1" a="1"/>
  <c r="G6" i="1" a="1"/>
  <c r="J15" i="3" a="1"/>
  <c r="I21" i="1" a="1"/>
  <c r="L16" i="1" a="1"/>
  <c r="H20" i="4" a="1"/>
  <c r="G13" i="4" a="1"/>
  <c r="G44" i="2"/>
  <c r="E5" i="2" a="1"/>
  <c r="K17" i="4" a="1"/>
  <c r="E17" i="5" a="1"/>
  <c r="E19" i="5" a="1"/>
  <c r="G21" i="1" a="1"/>
  <c r="K13" i="3" a="1"/>
  <c r="E19" i="2" a="1"/>
  <c r="F34" i="2"/>
  <c r="C6" i="2" a="1"/>
  <c r="F6" i="5" a="1"/>
  <c r="N12" i="2" a="1"/>
  <c r="D18" i="5" a="1"/>
  <c r="C9" i="5" a="1"/>
  <c r="G11" i="1" a="1"/>
  <c r="I20" i="3" a="1"/>
  <c r="E11" i="2" a="1"/>
  <c r="H12" i="1" a="1"/>
  <c r="I16" i="4" a="1"/>
  <c r="E8" i="2" a="1"/>
  <c r="G37" i="2"/>
  <c r="N4" i="2" a="1"/>
  <c r="J4" i="3" a="1"/>
  <c r="M16" i="1" a="1"/>
  <c r="P7" i="1" a="1"/>
  <c r="E35" i="2"/>
  <c r="E25" i="5" a="1"/>
  <c r="S28" i="2" l="1"/>
  <c r="H28" i="2"/>
  <c r="S10" i="2"/>
  <c r="S36" i="2" s="1"/>
  <c r="H13" i="2"/>
  <c r="H36" i="2" s="1"/>
  <c r="R13" i="2"/>
  <c r="F11" i="2"/>
  <c r="S11" i="2"/>
  <c r="S39" i="2" s="1"/>
  <c r="F14" i="2"/>
  <c r="S13" i="2"/>
  <c r="S43" i="2" s="1"/>
  <c r="S8" i="2"/>
  <c r="S34" i="2" s="1"/>
  <c r="H8" i="2"/>
  <c r="H31" i="2" s="1"/>
  <c r="H23" i="2"/>
  <c r="H45" i="2" s="1"/>
  <c r="H24" i="2"/>
  <c r="H46" i="2" s="1"/>
  <c r="F17" i="2"/>
  <c r="S9" i="2"/>
  <c r="S35" i="2" s="1"/>
  <c r="S15" i="2"/>
  <c r="S45" i="2" s="1"/>
  <c r="F19" i="2"/>
  <c r="R11" i="2"/>
  <c r="F13" i="2"/>
  <c r="S16" i="2"/>
  <c r="S46" i="2" s="1"/>
  <c r="H9" i="2"/>
  <c r="H32" i="2" s="1"/>
  <c r="G22" i="2"/>
  <c r="G21" i="2"/>
  <c r="F6" i="2"/>
  <c r="F9" i="2"/>
  <c r="F16" i="2"/>
  <c r="F5" i="2"/>
  <c r="F22" i="2"/>
  <c r="H18" i="2"/>
  <c r="H41" i="2" s="1"/>
  <c r="R8" i="2"/>
  <c r="R9" i="2"/>
  <c r="H19" i="2"/>
  <c r="H42" i="2" s="1"/>
  <c r="H20" i="2"/>
  <c r="Q5" i="2"/>
  <c r="Q6" i="2"/>
  <c r="H4" i="2"/>
  <c r="H30" i="2" s="1"/>
  <c r="H17" i="2"/>
  <c r="H40" i="2" s="1"/>
  <c r="H21" i="2"/>
  <c r="H43" i="2" s="1"/>
  <c r="S6" i="2"/>
  <c r="S32" i="2" s="1"/>
  <c r="S7" i="2"/>
  <c r="S33" i="2" s="1"/>
  <c r="F23" i="2"/>
  <c r="H14" i="2"/>
  <c r="H37" i="2" s="1"/>
  <c r="G12" i="2"/>
  <c r="G15" i="2"/>
  <c r="S5" i="2"/>
  <c r="S31" i="2" s="1"/>
  <c r="Q16" i="2"/>
  <c r="F20" i="2"/>
  <c r="F18" i="2"/>
  <c r="R5" i="2"/>
  <c r="Q11" i="2"/>
  <c r="F7" i="2"/>
  <c r="G19" i="2"/>
  <c r="R10" i="2"/>
  <c r="H16" i="2"/>
  <c r="H39" i="2" s="1"/>
  <c r="G16" i="2"/>
  <c r="G18" i="2"/>
  <c r="R16" i="2"/>
  <c r="S4" i="2"/>
  <c r="Q35" i="2"/>
  <c r="C35" i="2"/>
  <c r="D35" i="2"/>
  <c r="R35" i="2" s="1"/>
  <c r="F25" i="5"/>
  <c r="F19" i="5"/>
  <c r="F22" i="5"/>
  <c r="F7" i="5"/>
  <c r="F23" i="5"/>
  <c r="F10" i="5"/>
  <c r="F26" i="5"/>
  <c r="F14" i="5"/>
  <c r="F27" i="5"/>
  <c r="F17" i="5"/>
  <c r="F12" i="5"/>
  <c r="F5" i="5"/>
  <c r="F20" i="5"/>
  <c r="F9" i="5"/>
  <c r="F24" i="5"/>
  <c r="F11" i="5"/>
  <c r="F21" i="5"/>
  <c r="F16" i="5"/>
  <c r="F13" i="5"/>
  <c r="F18" i="5"/>
  <c r="F8" i="5"/>
  <c r="F4" i="5"/>
  <c r="F28" i="5"/>
  <c r="F15" i="5"/>
  <c r="N8" i="3"/>
  <c r="O8" i="3"/>
  <c r="P8" i="3"/>
  <c r="Q8" i="3"/>
  <c r="R8" i="3"/>
  <c r="C36" i="2"/>
  <c r="Q36" i="2"/>
  <c r="D36" i="2"/>
  <c r="R36" i="2" s="1"/>
  <c r="C40" i="2"/>
  <c r="D40" i="2"/>
  <c r="S14" i="2"/>
  <c r="S44" i="2" s="1"/>
  <c r="H7" i="2"/>
  <c r="F10" i="2"/>
  <c r="F12" i="2"/>
  <c r="N21" i="3"/>
  <c r="O21" i="3"/>
  <c r="P21" i="3"/>
  <c r="Q21" i="3"/>
  <c r="R21" i="3"/>
  <c r="H6" i="2"/>
  <c r="S12" i="2"/>
  <c r="S42" i="2" s="1"/>
  <c r="N19" i="4"/>
  <c r="Q19" i="4"/>
  <c r="P19" i="4"/>
  <c r="R19" i="4"/>
  <c r="O19" i="4"/>
  <c r="Q13" i="2"/>
  <c r="T5" i="1"/>
  <c r="AB5" i="1"/>
  <c r="Z5" i="1"/>
  <c r="V5" i="1"/>
  <c r="X5" i="1"/>
  <c r="T14" i="1"/>
  <c r="V14" i="1"/>
  <c r="AB14" i="1"/>
  <c r="X14" i="1"/>
  <c r="Z14" i="1"/>
  <c r="T10" i="1"/>
  <c r="X10" i="1"/>
  <c r="V10" i="1"/>
  <c r="Z10" i="1"/>
  <c r="AB10" i="1"/>
  <c r="D50" i="2"/>
  <c r="C50" i="2"/>
  <c r="N7" i="3"/>
  <c r="R7" i="3"/>
  <c r="O7" i="3"/>
  <c r="P7" i="3"/>
  <c r="Q7" i="3"/>
  <c r="N6" i="3"/>
  <c r="O6" i="3"/>
  <c r="P6" i="3"/>
  <c r="Q6" i="3"/>
  <c r="R6" i="3"/>
  <c r="N4" i="3"/>
  <c r="R4" i="3"/>
  <c r="O4" i="3"/>
  <c r="P4" i="3"/>
  <c r="Q4" i="3"/>
  <c r="R18" i="4"/>
  <c r="Q18" i="4"/>
  <c r="P18" i="4"/>
  <c r="O18" i="4"/>
  <c r="N18" i="4"/>
  <c r="H10" i="2"/>
  <c r="H33" i="2" s="1"/>
  <c r="N9" i="3"/>
  <c r="O9" i="3"/>
  <c r="P9" i="3"/>
  <c r="Q9" i="3"/>
  <c r="R9" i="3"/>
  <c r="N20" i="3"/>
  <c r="O20" i="3"/>
  <c r="P20" i="3"/>
  <c r="Q20" i="3"/>
  <c r="R20" i="3"/>
  <c r="R15" i="2"/>
  <c r="T20" i="1"/>
  <c r="AB20" i="1"/>
  <c r="Z20" i="1"/>
  <c r="X20" i="1"/>
  <c r="V20" i="1"/>
  <c r="Q39" i="2"/>
  <c r="D39" i="2"/>
  <c r="R39" i="2" s="1"/>
  <c r="C39" i="2"/>
  <c r="Q32" i="2"/>
  <c r="D32" i="2"/>
  <c r="R32" i="2" s="1"/>
  <c r="C32" i="2"/>
  <c r="D52" i="2"/>
  <c r="C52" i="2"/>
  <c r="G9" i="2"/>
  <c r="N3" i="3"/>
  <c r="R3" i="3"/>
  <c r="Q3" i="3"/>
  <c r="P3" i="3"/>
  <c r="O3" i="3"/>
  <c r="G24" i="2"/>
  <c r="N16" i="3"/>
  <c r="R16" i="3"/>
  <c r="O16" i="3"/>
  <c r="P16" i="3"/>
  <c r="Q16" i="3"/>
  <c r="H15" i="2"/>
  <c r="H38" i="2" s="1"/>
  <c r="G11" i="5"/>
  <c r="G28" i="5"/>
  <c r="G15" i="5"/>
  <c r="G16" i="5"/>
  <c r="G17" i="5"/>
  <c r="G20" i="5"/>
  <c r="G14" i="5"/>
  <c r="G12" i="5"/>
  <c r="G5" i="5"/>
  <c r="G18" i="5"/>
  <c r="G10" i="5"/>
  <c r="G26" i="5"/>
  <c r="G27" i="5"/>
  <c r="G23" i="5"/>
  <c r="G24" i="5"/>
  <c r="G19" i="5"/>
  <c r="G21" i="5"/>
  <c r="G7" i="5"/>
  <c r="G9" i="5"/>
  <c r="G25" i="5"/>
  <c r="G13" i="5"/>
  <c r="G22" i="5"/>
  <c r="G4" i="5"/>
  <c r="G8" i="5"/>
  <c r="R8" i="4"/>
  <c r="Q8" i="4"/>
  <c r="P8" i="4"/>
  <c r="N8" i="4"/>
  <c r="O8" i="4"/>
  <c r="Q7" i="2"/>
  <c r="G20" i="2"/>
  <c r="T11" i="1"/>
  <c r="Z11" i="1"/>
  <c r="V11" i="1"/>
  <c r="X11" i="1"/>
  <c r="AB11" i="1"/>
  <c r="T12" i="1"/>
  <c r="V12" i="1"/>
  <c r="X12" i="1"/>
  <c r="Z12" i="1"/>
  <c r="AB12" i="1"/>
  <c r="S8" i="1"/>
  <c r="AA8" i="1"/>
  <c r="Y8" i="1"/>
  <c r="W8" i="1"/>
  <c r="U8" i="1"/>
  <c r="S20" i="1"/>
  <c r="Y20" i="1"/>
  <c r="W20" i="1"/>
  <c r="U20" i="1"/>
  <c r="AA20" i="1"/>
  <c r="D51" i="2"/>
  <c r="C51" i="2"/>
  <c r="H18" i="5"/>
  <c r="H7" i="5"/>
  <c r="H24" i="5"/>
  <c r="H5" i="5"/>
  <c r="H11" i="5"/>
  <c r="H21" i="5"/>
  <c r="H28" i="5"/>
  <c r="H10" i="5"/>
  <c r="H4" i="5"/>
  <c r="H15" i="5"/>
  <c r="H25" i="5"/>
  <c r="H22" i="5"/>
  <c r="H8" i="5"/>
  <c r="H19" i="5"/>
  <c r="H12" i="5"/>
  <c r="H9" i="5"/>
  <c r="H14" i="5"/>
  <c r="H23" i="5"/>
  <c r="H16" i="5"/>
  <c r="H13" i="5"/>
  <c r="H26" i="5"/>
  <c r="H27" i="5"/>
  <c r="H20" i="5"/>
  <c r="H17" i="5"/>
  <c r="N10" i="3"/>
  <c r="R10" i="3"/>
  <c r="O10" i="3"/>
  <c r="P10" i="3"/>
  <c r="Q10" i="3"/>
  <c r="Q43" i="2"/>
  <c r="C43" i="2"/>
  <c r="D43" i="2"/>
  <c r="R43" i="2" s="1"/>
  <c r="C44" i="2"/>
  <c r="Q44" i="2"/>
  <c r="D44" i="2"/>
  <c r="R44" i="2" s="1"/>
  <c r="C42" i="2"/>
  <c r="Q42" i="2"/>
  <c r="D42" i="2"/>
  <c r="R42" i="2" s="1"/>
  <c r="G17" i="2"/>
  <c r="R20" i="4"/>
  <c r="Q20" i="4"/>
  <c r="P20" i="4"/>
  <c r="O20" i="4"/>
  <c r="N20" i="4"/>
  <c r="N18" i="3"/>
  <c r="Q18" i="3"/>
  <c r="R18" i="3"/>
  <c r="O18" i="3"/>
  <c r="P18" i="3"/>
  <c r="R21" i="4"/>
  <c r="Q21" i="4"/>
  <c r="P21" i="4"/>
  <c r="O21" i="4"/>
  <c r="N21" i="4"/>
  <c r="G14" i="2"/>
  <c r="R12" i="2"/>
  <c r="T8" i="1"/>
  <c r="X8" i="1"/>
  <c r="V8" i="1"/>
  <c r="Z8" i="1"/>
  <c r="AB8" i="1"/>
  <c r="S13" i="1"/>
  <c r="W13" i="1"/>
  <c r="AA13" i="1"/>
  <c r="Y13" i="1"/>
  <c r="U13" i="1"/>
  <c r="T15" i="1"/>
  <c r="X15" i="1"/>
  <c r="Z15" i="1"/>
  <c r="AB15" i="1"/>
  <c r="V15" i="1"/>
  <c r="G7" i="2"/>
  <c r="N15" i="3"/>
  <c r="Q15" i="3"/>
  <c r="O15" i="3"/>
  <c r="P15" i="3"/>
  <c r="R15" i="3"/>
  <c r="R7" i="2"/>
  <c r="N19" i="3"/>
  <c r="O19" i="3"/>
  <c r="P19" i="3"/>
  <c r="Q19" i="3"/>
  <c r="R19" i="3"/>
  <c r="S14" i="1"/>
  <c r="AA14" i="1"/>
  <c r="Y14" i="1"/>
  <c r="U14" i="1"/>
  <c r="W14" i="1"/>
  <c r="S17" i="1"/>
  <c r="Y17" i="1"/>
  <c r="AA17" i="1"/>
  <c r="U17" i="1"/>
  <c r="W17" i="1"/>
  <c r="C38" i="2"/>
  <c r="D38" i="2"/>
  <c r="C45" i="2"/>
  <c r="Q45" i="2"/>
  <c r="D45" i="2"/>
  <c r="R45" i="2" s="1"/>
  <c r="N13" i="3"/>
  <c r="R13" i="3"/>
  <c r="O13" i="3"/>
  <c r="P13" i="3"/>
  <c r="Q13" i="3"/>
  <c r="C41" i="2"/>
  <c r="D41" i="2"/>
  <c r="D47" i="2"/>
  <c r="C47" i="2"/>
  <c r="N17" i="3"/>
  <c r="O17" i="3"/>
  <c r="P17" i="3"/>
  <c r="Q17" i="3"/>
  <c r="R17" i="3"/>
  <c r="R4" i="2"/>
  <c r="F15" i="2"/>
  <c r="G10" i="2"/>
  <c r="Q9" i="2"/>
  <c r="R4" i="4"/>
  <c r="Q4" i="4"/>
  <c r="O4" i="4"/>
  <c r="N4" i="4"/>
  <c r="P4" i="4"/>
  <c r="T17" i="1"/>
  <c r="AB17" i="1"/>
  <c r="Z17" i="1"/>
  <c r="V17" i="1"/>
  <c r="X17" i="1"/>
  <c r="T9" i="1"/>
  <c r="V9" i="1"/>
  <c r="AB9" i="1"/>
  <c r="X9" i="1"/>
  <c r="Z9" i="1"/>
  <c r="T7" i="1"/>
  <c r="AB7" i="1"/>
  <c r="X7" i="1"/>
  <c r="Z7" i="1"/>
  <c r="V7" i="1"/>
  <c r="S7" i="1"/>
  <c r="W7" i="1"/>
  <c r="AA7" i="1"/>
  <c r="Y7" i="1"/>
  <c r="U7" i="1"/>
  <c r="T21" i="1"/>
  <c r="AB21" i="1"/>
  <c r="X21" i="1"/>
  <c r="Z21" i="1"/>
  <c r="V21" i="1"/>
  <c r="D34" i="2"/>
  <c r="R34" i="2" s="1"/>
  <c r="C34" i="2"/>
  <c r="Q34" i="2"/>
  <c r="R17" i="4"/>
  <c r="Q17" i="4"/>
  <c r="P17" i="4"/>
  <c r="O17" i="4"/>
  <c r="N17" i="4"/>
  <c r="N7" i="4"/>
  <c r="R7" i="4"/>
  <c r="Q7" i="4"/>
  <c r="P7" i="4"/>
  <c r="O7" i="4"/>
  <c r="Q15" i="2"/>
  <c r="Q4" i="2"/>
  <c r="G5" i="2"/>
  <c r="T13" i="1"/>
  <c r="V13" i="1"/>
  <c r="X13" i="1"/>
  <c r="Z13" i="1"/>
  <c r="AB13" i="1"/>
  <c r="S11" i="1"/>
  <c r="W11" i="1"/>
  <c r="U11" i="1"/>
  <c r="Y11" i="1"/>
  <c r="AA11" i="1"/>
  <c r="Q31" i="2"/>
  <c r="C31" i="2"/>
  <c r="D31" i="2"/>
  <c r="R31" i="2" s="1"/>
  <c r="D46" i="2"/>
  <c r="R46" i="2" s="1"/>
  <c r="Q46" i="2"/>
  <c r="C46" i="2"/>
  <c r="N11" i="3"/>
  <c r="P11" i="3"/>
  <c r="Q11" i="3"/>
  <c r="R11" i="3"/>
  <c r="O11" i="3"/>
  <c r="N3" i="4"/>
  <c r="R3" i="4"/>
  <c r="Q3" i="4"/>
  <c r="P3" i="4"/>
  <c r="O3" i="4"/>
  <c r="G11" i="2"/>
  <c r="G8" i="2"/>
  <c r="S6" i="1"/>
  <c r="Y6" i="1"/>
  <c r="W6" i="1"/>
  <c r="AA6" i="1"/>
  <c r="U6" i="1"/>
  <c r="S21" i="1"/>
  <c r="Y21" i="1"/>
  <c r="W21" i="1"/>
  <c r="AA21" i="1"/>
  <c r="U21" i="1"/>
  <c r="T4" i="1"/>
  <c r="V4" i="1"/>
  <c r="AB4" i="1"/>
  <c r="X4" i="1"/>
  <c r="Z4" i="1"/>
  <c r="T18" i="1"/>
  <c r="Z18" i="1"/>
  <c r="AB18" i="1"/>
  <c r="V18" i="1"/>
  <c r="X18" i="1"/>
  <c r="D49" i="2"/>
  <c r="C49" i="2"/>
  <c r="G23" i="2"/>
  <c r="N5" i="3"/>
  <c r="P5" i="3"/>
  <c r="Q5" i="3"/>
  <c r="R5" i="3"/>
  <c r="O5" i="3"/>
  <c r="N14" i="3"/>
  <c r="O14" i="3"/>
  <c r="P14" i="3"/>
  <c r="Q14" i="3"/>
  <c r="R14" i="3"/>
  <c r="F4" i="2"/>
  <c r="H5" i="2"/>
  <c r="F21" i="2"/>
  <c r="O16" i="4"/>
  <c r="N16" i="4"/>
  <c r="R16" i="4"/>
  <c r="Q16" i="4"/>
  <c r="P16" i="4"/>
  <c r="R12" i="4"/>
  <c r="Q12" i="4"/>
  <c r="P12" i="4"/>
  <c r="O12" i="4"/>
  <c r="N12" i="4"/>
  <c r="S16" i="1"/>
  <c r="U16" i="1"/>
  <c r="W16" i="1"/>
  <c r="AA16" i="1"/>
  <c r="Y16" i="1"/>
  <c r="S19" i="1"/>
  <c r="Y19" i="1"/>
  <c r="AA19" i="1"/>
  <c r="W19" i="1"/>
  <c r="U19" i="1"/>
  <c r="S15" i="1"/>
  <c r="U15" i="1"/>
  <c r="W15" i="1"/>
  <c r="Y15" i="1"/>
  <c r="AA15" i="1"/>
  <c r="N13" i="4"/>
  <c r="R13" i="4"/>
  <c r="Q13" i="4"/>
  <c r="P13" i="4"/>
  <c r="O13" i="4"/>
  <c r="R6" i="2"/>
  <c r="Q8" i="2"/>
  <c r="Q10" i="2"/>
  <c r="F8" i="2"/>
  <c r="F24" i="2"/>
  <c r="G13" i="2"/>
  <c r="G6" i="2"/>
  <c r="T6" i="1"/>
  <c r="X6" i="1"/>
  <c r="V6" i="1"/>
  <c r="AB6" i="1"/>
  <c r="Z6" i="1"/>
  <c r="T19" i="1"/>
  <c r="X19" i="1"/>
  <c r="Z19" i="1"/>
  <c r="V19" i="1"/>
  <c r="AB19" i="1"/>
  <c r="S5" i="1"/>
  <c r="W5" i="1"/>
  <c r="AA5" i="1"/>
  <c r="Y5" i="1"/>
  <c r="U5" i="1"/>
  <c r="S18" i="1"/>
  <c r="AA18" i="1"/>
  <c r="Y18" i="1"/>
  <c r="U18" i="1"/>
  <c r="W18" i="1"/>
  <c r="S10" i="1"/>
  <c r="AA10" i="1"/>
  <c r="U10" i="1"/>
  <c r="W10" i="1"/>
  <c r="Y10" i="1"/>
  <c r="H12" i="2"/>
  <c r="H35" i="2" s="1"/>
  <c r="N11" i="4"/>
  <c r="Q11" i="4"/>
  <c r="R11" i="4"/>
  <c r="P11" i="4"/>
  <c r="O11" i="4"/>
  <c r="H22" i="2"/>
  <c r="H44" i="2" s="1"/>
  <c r="O5" i="4"/>
  <c r="N5" i="4"/>
  <c r="R5" i="4"/>
  <c r="P5" i="4"/>
  <c r="Q5" i="4"/>
  <c r="R14" i="2"/>
  <c r="O9" i="4"/>
  <c r="N9" i="4"/>
  <c r="R9" i="4"/>
  <c r="Q9" i="4"/>
  <c r="P9" i="4"/>
  <c r="G4" i="2"/>
  <c r="S9" i="1"/>
  <c r="AA9" i="1"/>
  <c r="U9" i="1"/>
  <c r="W9" i="1"/>
  <c r="Y9" i="1"/>
  <c r="T16" i="1"/>
  <c r="Z16" i="1"/>
  <c r="AB16" i="1"/>
  <c r="X16" i="1"/>
  <c r="V16" i="1"/>
  <c r="S12" i="1"/>
  <c r="Y12" i="1"/>
  <c r="W12" i="1"/>
  <c r="AA12" i="1"/>
  <c r="U12" i="1"/>
  <c r="D48" i="2"/>
  <c r="C48" i="2"/>
  <c r="N12" i="3"/>
  <c r="O12" i="3"/>
  <c r="P12" i="3"/>
  <c r="Q12" i="3"/>
  <c r="R12" i="3"/>
  <c r="D33" i="2"/>
  <c r="R33" i="2" s="1"/>
  <c r="C33" i="2"/>
  <c r="Q33" i="2"/>
  <c r="C37" i="2"/>
  <c r="D37" i="2"/>
  <c r="N15" i="4"/>
  <c r="R15" i="4"/>
  <c r="Q15" i="4"/>
  <c r="P15" i="4"/>
  <c r="O15" i="4"/>
  <c r="Q12" i="2"/>
  <c r="H11" i="2"/>
  <c r="H34" i="2" s="1"/>
  <c r="Q14" i="2"/>
  <c r="T3" i="1"/>
  <c r="X3" i="1"/>
  <c r="Z3" i="1"/>
  <c r="AB3" i="1"/>
  <c r="V3" i="1"/>
  <c r="S4" i="1"/>
  <c r="Y4" i="1"/>
  <c r="AA4" i="1"/>
  <c r="W4" i="1"/>
  <c r="U4" i="1"/>
  <c r="U3" i="1"/>
  <c r="S3" i="1"/>
  <c r="AA3" i="1"/>
  <c r="Y3" i="1"/>
  <c r="W3" i="1"/>
  <c r="I30" i="2" l="1"/>
  <c r="AI5" i="1"/>
  <c r="T36" i="2"/>
  <c r="AH14" i="1"/>
  <c r="AN14" i="1" s="1"/>
  <c r="AI9" i="1"/>
  <c r="AE20" i="1"/>
  <c r="AK20" i="1" s="1"/>
  <c r="AH10" i="1"/>
  <c r="AN10" i="1" s="1"/>
  <c r="AI12" i="1"/>
  <c r="AI10" i="1"/>
  <c r="AH4" i="1"/>
  <c r="AN4" i="1" s="1"/>
  <c r="AH12" i="1"/>
  <c r="AN12" i="1" s="1"/>
  <c r="AF15" i="1"/>
  <c r="AL15" i="1" s="1"/>
  <c r="AI18" i="1"/>
  <c r="T34" i="2"/>
  <c r="AG5" i="1"/>
  <c r="AM5" i="1" s="1"/>
  <c r="AF12" i="1"/>
  <c r="AL12" i="1" s="1"/>
  <c r="I42" i="2"/>
  <c r="AH18" i="1"/>
  <c r="AN18" i="1" s="1"/>
  <c r="AI14" i="1"/>
  <c r="I31" i="2"/>
  <c r="AG12" i="1"/>
  <c r="AM12" i="1" s="1"/>
  <c r="AF4" i="1"/>
  <c r="AL4" i="1" s="1"/>
  <c r="AH9" i="1"/>
  <c r="AN9" i="1" s="1"/>
  <c r="AF18" i="1"/>
  <c r="AL18" i="1" s="1"/>
  <c r="AF9" i="1"/>
  <c r="AL9" i="1" s="1"/>
  <c r="AF10" i="1"/>
  <c r="AL10" i="1" s="1"/>
  <c r="AH15" i="1"/>
  <c r="AN15" i="1" s="1"/>
  <c r="AG20" i="1"/>
  <c r="AM20" i="1" s="1"/>
  <c r="AG10" i="1"/>
  <c r="AM10" i="1" s="1"/>
  <c r="AF19" i="1"/>
  <c r="AL19" i="1" s="1"/>
  <c r="AH21" i="1"/>
  <c r="AN21" i="1" s="1"/>
  <c r="AI16" i="1"/>
  <c r="AH6" i="1"/>
  <c r="AN6" i="1" s="1"/>
  <c r="AI15" i="1"/>
  <c r="AG15" i="1"/>
  <c r="AM15" i="1" s="1"/>
  <c r="AI7" i="1"/>
  <c r="AE12" i="1"/>
  <c r="AK12" i="1" s="1"/>
  <c r="I46" i="2"/>
  <c r="AE10" i="1"/>
  <c r="AK10" i="1" s="1"/>
  <c r="T33" i="2"/>
  <c r="AG21" i="1"/>
  <c r="AM21" i="1" s="1"/>
  <c r="AH17" i="1"/>
  <c r="AN17" i="1" s="1"/>
  <c r="AF11" i="1"/>
  <c r="AL11" i="1" s="1"/>
  <c r="AG9" i="1"/>
  <c r="AM9" i="1" s="1"/>
  <c r="AH7" i="1"/>
  <c r="AN7" i="1" s="1"/>
  <c r="AF17" i="1"/>
  <c r="AL17" i="1" s="1"/>
  <c r="AH20" i="1"/>
  <c r="AN20" i="1" s="1"/>
  <c r="AE21" i="1"/>
  <c r="AK21" i="1" s="1"/>
  <c r="AE4" i="1"/>
  <c r="AK4" i="1" s="1"/>
  <c r="I45" i="2"/>
  <c r="I43" i="2"/>
  <c r="AE14" i="1"/>
  <c r="AK14" i="1" s="1"/>
  <c r="I37" i="2"/>
  <c r="AE5" i="1"/>
  <c r="AK5" i="1" s="1"/>
  <c r="I41" i="2"/>
  <c r="I32" i="2"/>
  <c r="AG16" i="1"/>
  <c r="AM16" i="1" s="1"/>
  <c r="T35" i="2"/>
  <c r="AG3" i="1"/>
  <c r="AM3" i="1" s="1"/>
  <c r="AF7" i="1"/>
  <c r="AL7" i="1" s="1"/>
  <c r="AI17" i="1"/>
  <c r="AH19" i="1"/>
  <c r="AN19" i="1" s="1"/>
  <c r="AF6" i="1"/>
  <c r="AL6" i="1" s="1"/>
  <c r="AH11" i="1"/>
  <c r="AN11" i="1" s="1"/>
  <c r="AH5" i="1"/>
  <c r="AN5" i="1" s="1"/>
  <c r="AG11" i="1"/>
  <c r="AM11" i="1" s="1"/>
  <c r="I39" i="2"/>
  <c r="T44" i="2"/>
  <c r="AE18" i="1"/>
  <c r="AK18" i="1" s="1"/>
  <c r="T39" i="2"/>
  <c r="T45" i="2"/>
  <c r="AE7" i="1"/>
  <c r="AK7" i="1" s="1"/>
  <c r="AH16" i="1"/>
  <c r="AN16" i="1" s="1"/>
  <c r="AG6" i="1"/>
  <c r="AM6" i="1" s="1"/>
  <c r="AF14" i="1"/>
  <c r="AL14" i="1" s="1"/>
  <c r="AG13" i="1"/>
  <c r="AM13" i="1" s="1"/>
  <c r="AH8" i="1"/>
  <c r="AN8" i="1" s="1"/>
  <c r="AE13" i="1"/>
  <c r="AK13" i="1" s="1"/>
  <c r="AI8" i="1"/>
  <c r="AF16" i="1"/>
  <c r="AL16" i="1" s="1"/>
  <c r="AH3" i="1"/>
  <c r="AN3" i="1" s="1"/>
  <c r="AF21" i="1"/>
  <c r="AL21" i="1" s="1"/>
  <c r="AI20" i="1"/>
  <c r="AE9" i="1"/>
  <c r="AK9" i="1" s="1"/>
  <c r="AI3" i="1"/>
  <c r="AG18" i="1"/>
  <c r="AM18" i="1" s="1"/>
  <c r="AE15" i="1"/>
  <c r="AK15" i="1" s="1"/>
  <c r="AI21" i="1"/>
  <c r="AG17" i="1"/>
  <c r="AM17" i="1" s="1"/>
  <c r="AF20" i="1"/>
  <c r="AL20" i="1" s="1"/>
  <c r="AF3" i="1"/>
  <c r="AL3" i="1" s="1"/>
  <c r="AG7" i="1"/>
  <c r="AM7" i="1" s="1"/>
  <c r="AF13" i="1"/>
  <c r="AL13" i="1" s="1"/>
  <c r="AI19" i="1"/>
  <c r="AH13" i="1"/>
  <c r="AN13" i="1" s="1"/>
  <c r="AF8" i="1"/>
  <c r="AL8" i="1" s="1"/>
  <c r="AG19" i="1"/>
  <c r="AM19" i="1" s="1"/>
  <c r="AG4" i="1"/>
  <c r="AM4" i="1" s="1"/>
  <c r="AI4" i="1"/>
  <c r="AF5" i="1"/>
  <c r="AL5" i="1" s="1"/>
  <c r="AE19" i="1"/>
  <c r="AK19" i="1" s="1"/>
  <c r="AI6" i="1"/>
  <c r="AI11" i="1"/>
  <c r="AG14" i="1"/>
  <c r="AM14" i="1" s="1"/>
  <c r="AI13" i="1"/>
  <c r="AG8" i="1"/>
  <c r="AM8" i="1" s="1"/>
  <c r="AE11" i="1"/>
  <c r="AK11" i="1" s="1"/>
  <c r="I40" i="2"/>
  <c r="T42" i="2"/>
  <c r="I36" i="2"/>
  <c r="I38" i="2"/>
  <c r="I44" i="2"/>
  <c r="I34" i="2"/>
  <c r="T46" i="2"/>
  <c r="I35" i="2"/>
  <c r="T31" i="2"/>
  <c r="T43" i="2"/>
  <c r="T32" i="2"/>
  <c r="AE17" i="1"/>
  <c r="AK17" i="1" s="1"/>
  <c r="I33" i="2"/>
  <c r="AE8" i="1"/>
  <c r="AK8" i="1" s="1"/>
  <c r="AE6" i="1"/>
  <c r="AK6" i="1" s="1"/>
  <c r="AE16" i="1"/>
  <c r="AK16" i="1" s="1"/>
  <c r="AE3" i="1"/>
  <c r="AK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<sst xmlns="http://schemas.openxmlformats.org/spreadsheetml/2006/main" count="690" uniqueCount="334">
  <si>
    <t>ATM</t>
  </si>
  <si>
    <t>1D</t>
  </si>
  <si>
    <t>USDCLPVON BGN Curncy</t>
  </si>
  <si>
    <t>1W</t>
  </si>
  <si>
    <t>USDCLPV1W BGN Curncy</t>
  </si>
  <si>
    <t>2W</t>
  </si>
  <si>
    <t>USDCLPV2W BGN Curncy</t>
  </si>
  <si>
    <t>3W</t>
  </si>
  <si>
    <t>USDCLPV3W BGN Curncy</t>
  </si>
  <si>
    <t>1M</t>
  </si>
  <si>
    <t>USDCLPV1M BGN Curncy</t>
  </si>
  <si>
    <t>2M</t>
  </si>
  <si>
    <t>USDCLPV2M BGN Curncy</t>
  </si>
  <si>
    <t>3M</t>
  </si>
  <si>
    <t>USDCLPV3M BGN Curncy</t>
  </si>
  <si>
    <t>4M</t>
  </si>
  <si>
    <t>USDCLPV4M BGN Curncy</t>
  </si>
  <si>
    <t>6M</t>
  </si>
  <si>
    <t>USDCLPV6M BGN Curncy</t>
  </si>
  <si>
    <t>9M</t>
  </si>
  <si>
    <t>USDCLPV9M BGN Curncy</t>
  </si>
  <si>
    <t>1Y</t>
  </si>
  <si>
    <t>USDCLPV1Y BGN Curncy</t>
  </si>
  <si>
    <t>18M</t>
  </si>
  <si>
    <t>USDCLPV18M BGN Curncy</t>
  </si>
  <si>
    <t>2Y</t>
  </si>
  <si>
    <t>USDCLPV2Y BGN Curncy</t>
  </si>
  <si>
    <t>3Y</t>
  </si>
  <si>
    <t>USDCLPV3Y BGN Curncy</t>
  </si>
  <si>
    <t>4Y</t>
  </si>
  <si>
    <t>USDCLPV4Y BGN Curncy</t>
  </si>
  <si>
    <t>5Y</t>
  </si>
  <si>
    <t>USDCLPV5Y BGN Curncy</t>
  </si>
  <si>
    <t>7Y</t>
  </si>
  <si>
    <t>USDCLPV7Y BGN Curncy</t>
  </si>
  <si>
    <t>10Y</t>
  </si>
  <si>
    <t>USDCLPV10Y BGN Curncy</t>
  </si>
  <si>
    <t>15Y</t>
  </si>
  <si>
    <t>USDCLPV15Y BGN Curncy</t>
  </si>
  <si>
    <t>Bid</t>
  </si>
  <si>
    <t>Ask</t>
  </si>
  <si>
    <t>25 RR</t>
  </si>
  <si>
    <t>25 BF</t>
  </si>
  <si>
    <t>10 RR</t>
  </si>
  <si>
    <t>10 BF</t>
  </si>
  <si>
    <t>USDCLP25RON BGN Curncy</t>
  </si>
  <si>
    <t>USDCLP25BON BGN Curncy</t>
  </si>
  <si>
    <t>USDCLP10RON BGN Curncy</t>
  </si>
  <si>
    <t>USDCLP10BON BGN Curncy</t>
  </si>
  <si>
    <t>USDCLP25R1W BGN Curncy</t>
  </si>
  <si>
    <t>USDCLP25B1W BGN Curncy</t>
  </si>
  <si>
    <t>USDCLP10R1W BGN Curncy</t>
  </si>
  <si>
    <t>USDCLP10B1W BGN Curncy</t>
  </si>
  <si>
    <t>USDCLP25R2W BGN Curncy</t>
  </si>
  <si>
    <t>USDCLP25B2W BGN Curncy</t>
  </si>
  <si>
    <t>USDCLP10R2W BGN Curncy</t>
  </si>
  <si>
    <t>USDCLP10B2W BGN Curncy</t>
  </si>
  <si>
    <t>USDCLP25R3W BGN Curncy</t>
  </si>
  <si>
    <t>USDCLP25B3W BGN Curncy</t>
  </si>
  <si>
    <t>USDCLP10R3W BGN Curncy</t>
  </si>
  <si>
    <t>USDCLP10B3W BGN Curncy</t>
  </si>
  <si>
    <t>USDCLP25R1M BGN Curncy</t>
  </si>
  <si>
    <t>USDCLP25B1M BGN Curncy</t>
  </si>
  <si>
    <t>USDCLP10R1M BGN Curncy</t>
  </si>
  <si>
    <t>USDCLP10B1M BGN Curncy</t>
  </si>
  <si>
    <t>USDCLP25R2M BGN Curncy</t>
  </si>
  <si>
    <t>USDCLP25B2M BGN Curncy</t>
  </si>
  <si>
    <t>USDCLP10R2M BGN Curncy</t>
  </si>
  <si>
    <t>USDCLP10B2M BGN Curncy</t>
  </si>
  <si>
    <t>USDCLP25R3M BGN Curncy</t>
  </si>
  <si>
    <t>USDCLP25B3M BGN Curncy</t>
  </si>
  <si>
    <t>USDCLP10R3M BGN Curncy</t>
  </si>
  <si>
    <t>USDCLP10B3M BGN Curncy</t>
  </si>
  <si>
    <t>USDCLP25R4M BGN Curncy</t>
  </si>
  <si>
    <t>USDCLP25B4M BGN Curncy</t>
  </si>
  <si>
    <t>USDCLP10R4M BGN Curncy</t>
  </si>
  <si>
    <t>USDCLP10B4M BGN Curncy</t>
  </si>
  <si>
    <t>USDCLP25R6M BGN Curncy</t>
  </si>
  <si>
    <t>USDCLP25B6M BGN Curncy</t>
  </si>
  <si>
    <t>USDCLP10R6M BGN Curncy</t>
  </si>
  <si>
    <t>USDCLP10B6M BGN Curncy</t>
  </si>
  <si>
    <t>USDCLP25R9M BGN Curncy</t>
  </si>
  <si>
    <t>USDCLP25B9M BGN Curncy</t>
  </si>
  <si>
    <t>USDCLP10R9M BGN Curncy</t>
  </si>
  <si>
    <t>USDCLP10B9M BGN Curncy</t>
  </si>
  <si>
    <t>USDCLP25R1Y BGN Curncy</t>
  </si>
  <si>
    <t>USDCLP25B1Y BGN Curncy</t>
  </si>
  <si>
    <t>USDCLP10R1Y BGN Curncy</t>
  </si>
  <si>
    <t>USDCLP10B1Y BGN Curncy</t>
  </si>
  <si>
    <t>USDCLP25R18M BGN Curncy</t>
  </si>
  <si>
    <t>USDCLP25B18M BGN Curncy</t>
  </si>
  <si>
    <t>USDCLP10R18M BGN Curncy</t>
  </si>
  <si>
    <t>USDCLP10B18M BGN Curncy</t>
  </si>
  <si>
    <t>USDCLP25R2Y BGN Curncy</t>
  </si>
  <si>
    <t>USDCLP25B2Y BGN Curncy</t>
  </si>
  <si>
    <t>USDCLP10R2Y BGN Curncy</t>
  </si>
  <si>
    <t>USDCLP10B2Y BGN Curncy</t>
  </si>
  <si>
    <t>USDCLP25R3Y BGN Curncy</t>
  </si>
  <si>
    <t>USDCLP25B3Y BGN Curncy</t>
  </si>
  <si>
    <t>USDCLP10R3Y BGN Curncy</t>
  </si>
  <si>
    <t>USDCLP10B3Y BGN Curncy</t>
  </si>
  <si>
    <t>USDCLP25R4Y BGN Curncy</t>
  </si>
  <si>
    <t>USDCLP25B4Y BGN Curncy</t>
  </si>
  <si>
    <t>USDCLP10R4Y BGN Curncy</t>
  </si>
  <si>
    <t>USDCLP10B4Y BGN Curncy</t>
  </si>
  <si>
    <t>USDCLP25R5Y BGN Curncy</t>
  </si>
  <si>
    <t>USDCLP25B5Y BGN Curncy</t>
  </si>
  <si>
    <t>USDCLP10R5Y BGN Curncy</t>
  </si>
  <si>
    <t>USDCLP10B5Y BGN Curncy</t>
  </si>
  <si>
    <t>USDCLP25R7Y BGN Curncy</t>
  </si>
  <si>
    <t>USDCLP25B7Y BGN Curncy</t>
  </si>
  <si>
    <t>USDCLP10R7Y BGN Curncy</t>
  </si>
  <si>
    <t>USDCLP10B7Y BGN Curncy</t>
  </si>
  <si>
    <t>USDCLP25R10Y BGN Curncy</t>
  </si>
  <si>
    <t>USDCLP25B10Y BGN Curncy</t>
  </si>
  <si>
    <t>USDCLP10R10Y BGN Curncy</t>
  </si>
  <si>
    <t>USDCLP10B10Y BGN Curncy</t>
  </si>
  <si>
    <t>USDCLP25R15Y BGN Curncy</t>
  </si>
  <si>
    <t>USDCLP25B15Y BGN Curncy</t>
  </si>
  <si>
    <t>USDCLP10R15Y BGN Curncy</t>
  </si>
  <si>
    <t>USDCLP10B15Y BGN Curncy</t>
  </si>
  <si>
    <t>Term</t>
  </si>
  <si>
    <t>25 Call USD</t>
  </si>
  <si>
    <t>25 Put USD</t>
  </si>
  <si>
    <t>10 Call USD</t>
  </si>
  <si>
    <t>10 Put USD</t>
  </si>
  <si>
    <t>Mid</t>
  </si>
  <si>
    <t>Cuadre</t>
  </si>
  <si>
    <t>USDCLPVON GFFX Curncy</t>
  </si>
  <si>
    <t>USDCLP25RON GFFX Curncy</t>
  </si>
  <si>
    <t>USDCLP25BON GFFX Curncy</t>
  </si>
  <si>
    <t>USDCLP10RON GFFX Curncy</t>
  </si>
  <si>
    <t>USDCLP10BON GFFX Curncy</t>
  </si>
  <si>
    <t>USDCLPV1W GFFX Curncy</t>
  </si>
  <si>
    <t>USDCLP25R1W GFFX Curncy</t>
  </si>
  <si>
    <t>USDCLP25B1W GFFX Curncy</t>
  </si>
  <si>
    <t>USDCLP10R1W GFFX Curncy</t>
  </si>
  <si>
    <t>USDCLP10B1W GFFX Curncy</t>
  </si>
  <si>
    <t>USDCLPV2W GFFX Curncy</t>
  </si>
  <si>
    <t>USDCLP25R2W GFFX Curncy</t>
  </si>
  <si>
    <t>USDCLP25B2W GFFX Curncy</t>
  </si>
  <si>
    <t>USDCLP10R2W GFFX Curncy</t>
  </si>
  <si>
    <t>USDCLP10B2W GFFX Curncy</t>
  </si>
  <si>
    <t>USDCLPV1M GFFX Curncy</t>
  </si>
  <si>
    <t>USDCLP25R1M GFFX Curncy</t>
  </si>
  <si>
    <t>USDCLP25B1M GFFX Curncy</t>
  </si>
  <si>
    <t>USDCLP10R1M GFFX Curncy</t>
  </si>
  <si>
    <t>USDCLP10B1M GFFX Curncy</t>
  </si>
  <si>
    <t>USDCLPV2M GFFX Curncy</t>
  </si>
  <si>
    <t>USDCLP25R2M GFFX Curncy</t>
  </si>
  <si>
    <t>USDCLP25B2M GFFX Curncy</t>
  </si>
  <si>
    <t>USDCLP10R2M GFFX Curncy</t>
  </si>
  <si>
    <t>USDCLP10B2M GFFX Curncy</t>
  </si>
  <si>
    <t>USDCLPV3M GFFX Curncy</t>
  </si>
  <si>
    <t>USDCLP25R3M GFFX Curncy</t>
  </si>
  <si>
    <t>USDCLP25B3M GFFX Curncy</t>
  </si>
  <si>
    <t>USDCLP10R3M GFFX Curncy</t>
  </si>
  <si>
    <t>USDCLP10B3M GFFX Curncy</t>
  </si>
  <si>
    <t>USDCLPV6M GFFX Curncy</t>
  </si>
  <si>
    <t>USDCLP25R6M GFFX Curncy</t>
  </si>
  <si>
    <t>USDCLP25B6M GFFX Curncy</t>
  </si>
  <si>
    <t>USDCLP10R6M GFFX Curncy</t>
  </si>
  <si>
    <t>USDCLP10B6M GFFX Curncy</t>
  </si>
  <si>
    <t>USDCLPV9M GFFX Curncy</t>
  </si>
  <si>
    <t>USDCLP25R9M GFFX Curncy</t>
  </si>
  <si>
    <t>USDCLP25B9M GFFX Curncy</t>
  </si>
  <si>
    <t>USDCLP10R9M GFFX Curncy</t>
  </si>
  <si>
    <t>USDCLP10B9M GFFX Curncy</t>
  </si>
  <si>
    <t>USDCLPV1Y GFFX Curncy</t>
  </si>
  <si>
    <t>USDCLP25R1Y GFFX Curncy</t>
  </si>
  <si>
    <t>USDCLP25B1Y GFFX Curncy</t>
  </si>
  <si>
    <t>USDCLP10R1Y GFFX Curncy</t>
  </si>
  <si>
    <t>USDCLP10B1Y GFFX Curncy</t>
  </si>
  <si>
    <t>USDCLPV2Y GFFX Curncy</t>
  </si>
  <si>
    <t>USDCLP25R2Y GFFX Curncy</t>
  </si>
  <si>
    <t>USDCLP25B2Y GFFX Curncy</t>
  </si>
  <si>
    <t>USDCLP10R2Y GFFX Curncy</t>
  </si>
  <si>
    <t>USDCLP10B2Y GFFX Curncy</t>
  </si>
  <si>
    <t>USDCLPV3Y GFFX Curncy</t>
  </si>
  <si>
    <t>USDCLP25R3Y GFFX Curncy</t>
  </si>
  <si>
    <t>USDCLP25B3Y GFFX Curncy</t>
  </si>
  <si>
    <t>USDCLP10R3Y GFFX Curncy</t>
  </si>
  <si>
    <t>USDCLP10B3Y GFFX Curncy</t>
  </si>
  <si>
    <t>USDCLPV4Y GFFX Curncy</t>
  </si>
  <si>
    <t>USDCLP25R4Y GFFX Curncy</t>
  </si>
  <si>
    <t>USDCLP25B4Y GFFX Curncy</t>
  </si>
  <si>
    <t>USDCLP10R4Y GFFX Curncy</t>
  </si>
  <si>
    <t>USDCLP10B4Y GFFX Curncy</t>
  </si>
  <si>
    <t>USDCLPV5Y GFFX Curncy</t>
  </si>
  <si>
    <t>USDCLP25R5Y GFFX Curncy</t>
  </si>
  <si>
    <t>USDCLP25B5Y GFFX Curncy</t>
  </si>
  <si>
    <t>USDCLP10R5Y GFFX Curncy</t>
  </si>
  <si>
    <t>USDCLP10B5Y GFFX Curncy</t>
  </si>
  <si>
    <t>USDCLPV7Y GFFX Curncy</t>
  </si>
  <si>
    <t>USDCLP25R7Y GFFX Curncy</t>
  </si>
  <si>
    <t>USDCLP25B7Y GFFX Curncy</t>
  </si>
  <si>
    <t>USDCLP10R7Y GFFX Curncy</t>
  </si>
  <si>
    <t>USDCLP10B7Y GFFX Curncy</t>
  </si>
  <si>
    <t>USDCLPV10Y GFFX Curncy</t>
  </si>
  <si>
    <t>USDCLP25R10Y GFFX Curncy</t>
  </si>
  <si>
    <t>USDCLP25B10Y GFFX Curncy</t>
  </si>
  <si>
    <t>USDCLP10R10Y GFFX Curncy</t>
  </si>
  <si>
    <t>USDCLP10B10Y GFFX Curncy</t>
  </si>
  <si>
    <t>USDCLPV15Y GFFX Curncy</t>
  </si>
  <si>
    <t>USDCLP25R15Y GFFX Curncy</t>
  </si>
  <si>
    <t>USDCLP25B15Y GFFX Curncy</t>
  </si>
  <si>
    <t>USDCLP10R15Y GFFX Curncy</t>
  </si>
  <si>
    <t>USDCLP10B15Y GFFX Curncy</t>
  </si>
  <si>
    <t>CLP REGN Curncy</t>
  </si>
  <si>
    <t>CHNSN BGN Curncy</t>
  </si>
  <si>
    <t>CHN1W BGN Curncy</t>
  </si>
  <si>
    <t>CHN2W BGN Curncy</t>
  </si>
  <si>
    <t>CHN3W BGN Curncy</t>
  </si>
  <si>
    <t>CHN1M BGN Curncy</t>
  </si>
  <si>
    <t>CHN2M BGN Curncy</t>
  </si>
  <si>
    <t>CHN3M BGN Curncy</t>
  </si>
  <si>
    <t>CHN4M BGN Curncy</t>
  </si>
  <si>
    <t>CHN5M BGN Curncy</t>
  </si>
  <si>
    <t>CHN6M BGN Curncy</t>
  </si>
  <si>
    <t>CHN9M BGN Curncy</t>
  </si>
  <si>
    <t>CHN12M BGN Curncy</t>
  </si>
  <si>
    <t>CHN18M BGN Curncy</t>
  </si>
  <si>
    <t>CHN2Y BGN Curncy</t>
  </si>
  <si>
    <t>CHN3Y BGN Curncy</t>
  </si>
  <si>
    <t>CHN4Y BGN Curncy</t>
  </si>
  <si>
    <t>Points</t>
  </si>
  <si>
    <t>FWD</t>
  </si>
  <si>
    <t>SPT</t>
  </si>
  <si>
    <t xml:space="preserve">SN </t>
  </si>
  <si>
    <t xml:space="preserve">1W </t>
  </si>
  <si>
    <t xml:space="preserve">2W </t>
  </si>
  <si>
    <t xml:space="preserve">3W </t>
  </si>
  <si>
    <t xml:space="preserve">1M </t>
  </si>
  <si>
    <t xml:space="preserve">2M </t>
  </si>
  <si>
    <t xml:space="preserve">3M </t>
  </si>
  <si>
    <t xml:space="preserve">4M </t>
  </si>
  <si>
    <t xml:space="preserve">5M </t>
  </si>
  <si>
    <t xml:space="preserve">6M </t>
  </si>
  <si>
    <t xml:space="preserve">9M </t>
  </si>
  <si>
    <t>12M</t>
  </si>
  <si>
    <t xml:space="preserve">2Y </t>
  </si>
  <si>
    <t xml:space="preserve">3Y </t>
  </si>
  <si>
    <t xml:space="preserve">4Y </t>
  </si>
  <si>
    <t>IRS CLPCAM</t>
  </si>
  <si>
    <t>Maturity</t>
  </si>
  <si>
    <t>Dias</t>
  </si>
  <si>
    <t>Años</t>
  </si>
  <si>
    <t>CHIBPROM Index</t>
  </si>
  <si>
    <t>CHSWPC Curncy</t>
  </si>
  <si>
    <t>CHSWPF Curncy</t>
  </si>
  <si>
    <t>CHSWP1 Curncy</t>
  </si>
  <si>
    <t>CHSWP2 Curncy</t>
  </si>
  <si>
    <t>CHSWP3 Curncy</t>
  </si>
  <si>
    <t>CHSWP4 Curncy</t>
  </si>
  <si>
    <t>CHSWP5 Curncy</t>
  </si>
  <si>
    <t>CHSWP6 Curncy</t>
  </si>
  <si>
    <t>CHSWP7 Curncy</t>
  </si>
  <si>
    <t>CHSWP8 Curncy</t>
  </si>
  <si>
    <t>CHSWP9 Curncy</t>
  </si>
  <si>
    <t>CHSWP10 Curncy</t>
  </si>
  <si>
    <t>CHSWP20 Curncy</t>
  </si>
  <si>
    <t>CHSWPA Curncy</t>
  </si>
  <si>
    <t>CHSWPB Curncy</t>
  </si>
  <si>
    <t>CHSWPD Curncy</t>
  </si>
  <si>
    <t>CHSWPE Curncy</t>
  </si>
  <si>
    <t>CHSWPG Curncy</t>
  </si>
  <si>
    <t>CHSWPH Curncy</t>
  </si>
  <si>
    <t>CHSWPI Curncy</t>
  </si>
  <si>
    <t>CHSWPJ Curncy</t>
  </si>
  <si>
    <t>CHSWPK Curncy</t>
  </si>
  <si>
    <t>1d</t>
  </si>
  <si>
    <t>USD Rate</t>
  </si>
  <si>
    <t>Implied</t>
  </si>
  <si>
    <t>CHN7M BGN Curncy</t>
  </si>
  <si>
    <t>CHN8M BGN Curncy</t>
  </si>
  <si>
    <t>CHN10M BGN Curncy</t>
  </si>
  <si>
    <t>CHN11M BGN Curncy</t>
  </si>
  <si>
    <t>CHN5Y BGN Curncy</t>
  </si>
  <si>
    <t xml:space="preserve">5Y </t>
  </si>
  <si>
    <t>CLP Rate</t>
  </si>
  <si>
    <t>EURCLP BGN Curncy</t>
  </si>
  <si>
    <t xml:space="preserve">1Y </t>
  </si>
  <si>
    <t>CHEUN1W BGN Curncy</t>
  </si>
  <si>
    <t>CHEUN1M BGN Curncy</t>
  </si>
  <si>
    <t>CHEUN2M BGN Curncy</t>
  </si>
  <si>
    <t>CHEUN3M BGN Curncy</t>
  </si>
  <si>
    <t>CHEUN4M BGN Curncy</t>
  </si>
  <si>
    <t>CHEUN5M BGN Curncy</t>
  </si>
  <si>
    <t>CHEUN6M BGN Curncy</t>
  </si>
  <si>
    <t>CHEUN9M BGN Curncy</t>
  </si>
  <si>
    <t>CHEUN2Y BGN Curncy</t>
  </si>
  <si>
    <t>CHEUN12M BGN Curncy</t>
  </si>
  <si>
    <t>CHEUN3Y BGN Curncy</t>
  </si>
  <si>
    <t>CHEUN4Y BGN Curncy</t>
  </si>
  <si>
    <t>CHEUN5Y BGN Curncy</t>
  </si>
  <si>
    <t>EUR Rate</t>
  </si>
  <si>
    <t>EURON BGN Curncy</t>
  </si>
  <si>
    <t>EURTN BGN Curncy</t>
  </si>
  <si>
    <t>EUR BGN Curncy</t>
  </si>
  <si>
    <t>EURSN BGN Curncy</t>
  </si>
  <si>
    <t>EUR1W BGN Curncy</t>
  </si>
  <si>
    <t>EURMAR BGN Curncy</t>
  </si>
  <si>
    <t>EURMB4 BGN Curncy</t>
  </si>
  <si>
    <t>EUR1M BGN Curncy</t>
  </si>
  <si>
    <t>EUR2M BGN Curncy</t>
  </si>
  <si>
    <t>EUR3M BGN Curncy</t>
  </si>
  <si>
    <t>EURJUN BGN Curncy</t>
  </si>
  <si>
    <t>EURMB7 BGN Curncy</t>
  </si>
  <si>
    <t>EUR4M BGN Curncy</t>
  </si>
  <si>
    <t>EUR5M BGN Curncy</t>
  </si>
  <si>
    <t>EUR6M BGN Curncy</t>
  </si>
  <si>
    <t>EURSEP BGN Curncy</t>
  </si>
  <si>
    <t>EURMB10 BGN Curncy</t>
  </si>
  <si>
    <t>EUR9M BGN Curncy</t>
  </si>
  <si>
    <t>EURDEC BGN Curncy</t>
  </si>
  <si>
    <t>EURMB1 BGN Curncy</t>
  </si>
  <si>
    <t>EUR12M BGN Curncy</t>
  </si>
  <si>
    <t>EUR2Y BGN Curncy</t>
  </si>
  <si>
    <t>EUR3Y BGN Curncy</t>
  </si>
  <si>
    <t>EUR4Y BGN Curncy</t>
  </si>
  <si>
    <t>EUR5Y BGN Curncy</t>
  </si>
  <si>
    <t>ON</t>
  </si>
  <si>
    <t>TN</t>
  </si>
  <si>
    <t>SP</t>
  </si>
  <si>
    <t>SN</t>
  </si>
  <si>
    <t>MAR</t>
  </si>
  <si>
    <t>BAPR</t>
  </si>
  <si>
    <t>JUN</t>
  </si>
  <si>
    <t>BJUL</t>
  </si>
  <si>
    <t>5M</t>
  </si>
  <si>
    <t>SEP</t>
  </si>
  <si>
    <t>BOCT</t>
  </si>
  <si>
    <t>DEC</t>
  </si>
  <si>
    <t>BJAN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</si>
</sst>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0.000"/>
    <numFmt numFmtId="165" formatCode="ddd\ dd/mmm/yy"/>
    <numFmt numFmtId="166" formatCode="0.0000"/>
    <numFmt numFmtId="167" formatCode="_ * #,##0.00_ ;_ * \-#,##0.00_ ;_ * &quot;-&quot;_ ;_ @_ "/>
    <numFmt numFmtId="168" formatCode="0.00000"/>
  </numFmts>
  <fonts count="23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8" fillId="0" borderId="0" applyFont="0" applyFill="0" applyBorder="0" applyAlignment="0" applyProtection="0"/>
  </cellStyleXfs>
  <cellXfs count="36">
    <xf numFmtId="0" fontId="18" fillId="0" borderId="0" xfId="0" applyFont="1"/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64" fontId="19" fillId="0" borderId="0" xfId="0" applyNumberFormat="1" applyFont="1"/>
    <xf numFmtId="164" fontId="0" fillId="0" borderId="0" xfId="0" applyNumberFormat="1"/>
    <xf numFmtId="164" fontId="18" fillId="0" borderId="0" xfId="0" applyNumberFormat="1" applyFont="1"/>
    <xf numFmtId="164" fontId="19" fillId="0" borderId="0" xfId="0" applyNumberFormat="1" applyFont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3" borderId="0" xfId="0" applyFont="1" applyFill="1"/>
    <xf numFmtId="164" fontId="19" fillId="33" borderId="0" xfId="0" applyNumberFormat="1" applyFont="1" applyFill="1" applyAlignment="1">
      <alignment horizontal="center"/>
    </xf>
    <xf numFmtId="164" fontId="18" fillId="33" borderId="0" xfId="0" applyNumberFormat="1" applyFont="1" applyFill="1"/>
    <xf numFmtId="164" fontId="19" fillId="33" borderId="0" xfId="0" applyNumberFormat="1" applyFont="1" applyFill="1"/>
    <xf numFmtId="9" fontId="18" fillId="0" borderId="0" xfId="0" applyNumberFormat="1" applyFont="1"/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164" fontId="20" fillId="0" borderId="0" xfId="0" applyNumberFormat="1" applyFont="1"/>
    <xf numFmtId="165" fontId="0" fillId="0" borderId="0" xfId="0" applyNumberFormat="1" applyAlignment="1">
      <alignment horizontal="center"/>
    </xf>
    <xf numFmtId="41" fontId="0" fillId="0" borderId="0" xfId="42" applyFont="1" applyAlignment="1"/>
    <xf numFmtId="0" fontId="22" fillId="0" borderId="0" xfId="0" applyFont="1"/>
    <xf numFmtId="165" fontId="16" fillId="0" borderId="0" xfId="0" applyNumberFormat="1" applyFont="1" applyAlignment="1">
      <alignment horizontal="center"/>
    </xf>
    <xf numFmtId="41" fontId="16" fillId="0" borderId="0" xfId="42" applyFont="1" applyAlignment="1">
      <alignment horizontal="center"/>
    </xf>
    <xf numFmtId="0" fontId="16" fillId="0" borderId="0" xfId="0" applyFont="1" applyAlignment="1">
      <alignment horizontal="center"/>
    </xf>
    <xf numFmtId="166" fontId="0" fillId="0" borderId="0" xfId="0" applyNumberFormat="1"/>
    <xf numFmtId="2" fontId="0" fillId="0" borderId="0" xfId="42" applyNumberFormat="1" applyFont="1" applyAlignment="1">
      <alignment horizontal="center"/>
    </xf>
    <xf numFmtId="14" fontId="0" fillId="0" borderId="0" xfId="0" applyNumberFormat="1"/>
    <xf numFmtId="0" fontId="16" fillId="33" borderId="0" xfId="0" applyFont="1" applyFill="1" applyAlignment="1">
      <alignment horizontal="center"/>
    </xf>
    <xf numFmtId="166" fontId="0" fillId="33" borderId="0" xfId="0" applyNumberFormat="1" applyFill="1"/>
    <xf numFmtId="167" fontId="18" fillId="0" borderId="0" xfId="42" applyNumberFormat="1" applyFont="1" applyAlignment="1">
      <alignment horizontal="center"/>
    </xf>
    <xf numFmtId="166" fontId="18" fillId="33" borderId="0" xfId="0" applyNumberFormat="1" applyFont="1" applyFill="1" applyAlignment="1">
      <alignment horizontal="center"/>
    </xf>
    <xf numFmtId="166" fontId="19" fillId="33" borderId="0" xfId="0" applyNumberFormat="1" applyFont="1" applyFill="1"/>
    <xf numFmtId="168" fontId="18" fillId="0" borderId="0" xfId="0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" xfId="42" builtinId="6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12.24</v>
        <stp/>
        <stp>BDP|10898030932614861086|22</stp>
        <stp>USDCLPV3M BGN Curncy</stp>
        <stp>Bid</stp>
        <tr r="G9" s="1"/>
      </tp>
      <tp>
        <v>0.57999999999999996</v>
        <stp/>
        <stp>BDP|8566538227797437503|22</stp>
        <stp>USDCLP25B3Y GFFX Curncy</stp>
        <stp>Mid</stp>
        <tr r="I16" s="4"/>
      </tp>
      <tp>
        <v>11.79</v>
        <stp/>
        <stp>BDP|17762170464111023688|22</stp>
        <stp>USDCLPV7Y BGN Curncy</stp>
        <stp>Bid</stp>
        <tr r="G19" s="1"/>
      </tp>
      <tp>
        <v>1056.68</v>
        <stp/>
        <stp>BDP|313575717178473643|22</stp>
        <stp>EURCLP BGN Curncy</stp>
        <stp>Ask</stp>
        <tr r="O3" s="2"/>
        <tr r="R3" s="2"/>
      </tp>
      <tp>
        <v>14.23</v>
        <stp/>
        <stp>BDP|14581616525477554343|22</stp>
        <stp>USDCLPV3Y BGN Curncy</stp>
        <stp>Ask</stp>
        <tr r="H16" s="1"/>
      </tp>
      <tp>
        <v>118.48</v>
        <stp/>
        <stp>BDP|741315721012794433|22</stp>
        <stp>EURMB4 BGN Curncy</stp>
        <stp>Ask</stp>
        <tr r="D10" s="5"/>
      </tp>
      <tp>
        <v>55.66</v>
        <stp/>
        <stp>BDP|7611377450600771965|22</stp>
        <stp>EUR4M BGN Curncy</stp>
        <stp>Mid</stp>
        <tr r="E16" s="5"/>
      </tp>
      <tp>
        <v>10.95</v>
        <stp/>
        <stp>BDP|10302456872292264712|22</stp>
        <stp>USDCLPV1W BGN Curncy</stp>
        <stp>Bid</stp>
        <tr r="G4" s="1"/>
      </tp>
      <tp>
        <v>12.21</v>
        <stp/>
        <stp>BDP|16888196502160747118|22</stp>
        <stp>USDCLPV2Y BGN Curncy</stp>
        <stp>Bid</stp>
        <tr r="G15" s="1"/>
      </tp>
      <tp>
        <v>11.92</v>
        <stp/>
        <stp>BDP|13724560019657036625|22</stp>
        <stp>USDCLPV1Y BGN Curncy</stp>
        <stp>Bid</stp>
        <tr r="G13" s="1"/>
      </tp>
      <tp>
        <v>85.04</v>
        <stp/>
        <stp>BDP|9535161558660973844|22</stp>
        <stp>EUR6M BGN Curncy</stp>
        <stp>Ask</stp>
        <tr r="D18" s="5"/>
      </tp>
      <tp>
        <v>104.8433</v>
        <stp/>
        <stp>BDP|2672165720337968547|22</stp>
        <stp>CHEUN5Y BGN Curncy</stp>
        <stp>Bid</stp>
        <tr r="N16" s="2"/>
      </tp>
      <tp>
        <v>12.3</v>
        <stp/>
        <stp>BDP|12550299747456382476|22</stp>
        <stp>USDCLPV1Y GFFX Curncy</stp>
        <stp>Mid</stp>
        <tr r="G13" s="4"/>
      </tp>
      <tp>
        <v>1.8</v>
        <stp/>
        <stp>BDP|8964793332671748783|22</stp>
        <stp>USDCLP10B3Y GFFX Curncy</stp>
        <stp>Mid</stp>
        <tr r="K16" s="4"/>
      </tp>
      <tp>
        <v>12.14</v>
        <stp/>
        <stp>BDP|14767404313600387481|22</stp>
        <stp>USDCLPV2M BGN Curncy</stp>
        <stp>Bid</stp>
        <tr r="G8" s="1"/>
      </tp>
      <tp>
        <v>12.79</v>
        <stp/>
        <stp>BDP|13132376934395760065|22</stp>
        <stp>USDCLPV1Y BGN Curncy</stp>
        <stp>Ask</stp>
        <tr r="H13" s="1"/>
      </tp>
      <tp>
        <v>32.150199999999998</v>
        <stp/>
        <stp>BDP|6730795395087431447|22</stp>
        <stp>CHEUN2Y BGN Curncy</stp>
        <stp>Ask</stp>
        <tr r="O13" s="2"/>
      </tp>
      <tp>
        <v>3.5493000000000001</v>
        <stp/>
        <stp>BDP|8109571504227249905|22</stp>
        <stp>CHEUN3M BGN Curncy</stp>
        <stp>Ask</stp>
        <tr r="O7" s="2"/>
      </tp>
      <tp>
        <v>2.3086000000000002</v>
        <stp/>
        <stp>BDP|1389748852885717828|22</stp>
        <stp>CHEUN2M BGN Curncy</stp>
        <stp>Bid</stp>
        <tr r="N6" s="2"/>
      </tp>
      <tp>
        <v>11.5</v>
        <stp/>
        <stp>BDP|14382534439662528221|22</stp>
        <stp>USDCLPV1W GFFX Curncy</stp>
        <stp>Mid</stp>
        <tr r="G4" s="4"/>
      </tp>
      <tp>
        <v>0.79</v>
        <stp/>
        <stp>BDP|3694345958317785570|22</stp>
        <stp>USDCLP10BON GFFX Curncy</stp>
        <stp>Mid</stp>
        <tr r="K3" s="4"/>
      </tp>
      <tp>
        <v>1.24</v>
        <stp/>
        <stp>BDP|6979827948205329901|22</stp>
        <stp>USDCLP10B6M GFFX Curncy</stp>
        <stp>Mid</stp>
        <tr r="K11" s="4"/>
      </tp>
      <tp>
        <v>1.1299999999999999</v>
        <stp/>
        <stp>BDP|7484399391974839724|22</stp>
        <stp>USDCLP10B3M GFFX Curncy</stp>
        <stp>Mid</stp>
        <tr r="K9" s="4"/>
      </tp>
      <tp>
        <v>14.21</v>
        <stp/>
        <stp>BDP|17439077813934820576|22</stp>
        <stp>USDCLPV2W BGN Curncy</stp>
        <stp>Ask</stp>
        <tr r="H5" s="1"/>
      </tp>
      <tp>
        <v>12.94</v>
        <stp/>
        <stp>BDP|16398092676283693598|22</stp>
        <stp>USDCLPV6M BGN Curncy</stp>
        <stp>Ask</stp>
        <tr r="H11" s="1"/>
      </tp>
      <tp>
        <v>13.76</v>
        <stp/>
        <stp>BDP|17272616692068443760|22</stp>
        <stp>USDCLPV1M BGN Curncy</stp>
        <stp>Ask</stp>
        <tr r="H7" s="1"/>
      </tp>
      <tp>
        <v>0.64</v>
        <stp/>
        <stp>BDP|6058928815985875001|22</stp>
        <stp>USDCLP25B15Y GFFX Curncy</stp>
        <stp>Mid</stp>
        <tr r="I21" s="4"/>
      </tp>
      <tp>
        <v>111.8485</v>
        <stp/>
        <stp>BDP|3216723613656985099|22</stp>
        <stp>CHEUN5Y BGN Curncy</stp>
        <stp>Ask</stp>
        <tr r="O16" s="2"/>
      </tp>
      <tp>
        <v>9.2167999999999992</v>
        <stp/>
        <stp>BDP|3043555609663136442|22</stp>
        <stp>CHEUN9M BGN Curncy</stp>
        <stp>Bid</stp>
        <tr r="N11" s="2"/>
      </tp>
      <tp>
        <v>48.461799999999997</v>
        <stp/>
        <stp>BDP|5012898810950427824|22</stp>
        <stp>CHEUN3Y BGN Curncy</stp>
        <stp>Bid</stp>
        <tr r="N14" s="2"/>
      </tp>
      <tp>
        <v>13.498799999999999</v>
        <stp/>
        <stp>BDP|911092145535780325|22</stp>
        <stp>CHEUN12M BGN Curncy</stp>
        <stp>Ask</stp>
        <tr r="O12" s="2"/>
      </tp>
      <tp>
        <v>926.3</v>
        <stp/>
        <stp>BDP|8117267718192665426|22</stp>
        <stp>CLP REGN Curncy</stp>
        <stp>Bid</stp>
        <tr r="C3" s="2"/>
        <tr r="F3" s="2"/>
      </tp>
      <tp>
        <v>12.56</v>
        <stp/>
        <stp>BDP|17632263238049998689|22</stp>
        <stp>USDCLPV7Y GFFX Curncy</stp>
        <stp>Mid</stp>
        <tr r="G19" s="4"/>
      </tp>
      <tp>
        <v>12.77</v>
        <stp/>
        <stp>BDP|10204241595906384999|22</stp>
        <stp>USDCLPV2Y GFFX Curncy</stp>
        <stp>Mid</stp>
        <tr r="G15" s="4"/>
      </tp>
      <tp>
        <v>12.6</v>
        <stp/>
        <stp>BDP|12825439682782304935|22</stp>
        <stp>USDCLPV5Y GFFX Curncy</stp>
        <stp>Mid</stp>
        <tr r="G18" s="4"/>
      </tp>
      <tp>
        <v>1.0900000000000001</v>
        <stp/>
        <stp>BDP|2800217887308036243|22</stp>
        <stp>USDCLP10B2M GFFX Curncy</stp>
        <stp>Mid</stp>
        <tr r="K8" s="4"/>
      </tp>
      <tp>
        <v>84.54</v>
        <stp/>
        <stp>BDP|6752432481969777018|22</stp>
        <stp>EUR6M BGN Curncy</stp>
        <stp>Bid</stp>
        <tr r="C18" s="5"/>
      </tp>
      <tp>
        <v>1.71</v>
        <stp/>
        <stp>BDP|68980100670432570|22</stp>
        <stp>USDCLP10B1Y BGN Curncy</stp>
        <stp>Ask</stp>
        <tr r="P13" s="1"/>
      </tp>
      <tp>
        <v>1.1872</v>
        <stp/>
        <stp>BDP|2450469685561675799|22</stp>
        <stp>CHEUN1M BGN Curncy</stp>
        <stp>Bid</stp>
        <tr r="N5" s="2"/>
      </tp>
      <tp>
        <v>50.586599999999997</v>
        <stp/>
        <stp>BDP|8388055059805494154|22</stp>
        <stp>CHEUN3Y BGN Curncy</stp>
        <stp>Mid</stp>
        <tr r="P14" s="2"/>
      </tp>
      <tp>
        <v>12.62</v>
        <stp/>
        <stp>BDP|10444618729772631822|22</stp>
        <stp>USDCLPV4Y GFFX Curncy</stp>
        <stp>Mid</stp>
        <tr r="G17" s="4"/>
      </tp>
      <tp>
        <v>1.31</v>
        <stp/>
        <stp>BDP|2898740590449436949|22</stp>
        <stp>USDCLP10B9M GFFX Curncy</stp>
        <stp>Mid</stp>
        <tr r="K12" s="4"/>
      </tp>
      <tp>
        <v>12.5825</v>
        <stp/>
        <stp>BDP|12492991418232516587|22</stp>
        <stp>USDCLPV1W BGN Curncy</stp>
        <stp>Mid</stp>
        <tr r="G4" s="3"/>
      </tp>
      <tp>
        <v>0.79</v>
        <stp/>
        <stp>BDP|7691985860123934052|22</stp>
        <stp>USDCLP25B7Y GFFX Curncy</stp>
        <stp>Mid</stp>
        <tr r="I19" s="4"/>
      </tp>
      <tp>
        <v>13.63</v>
        <stp/>
        <stp>BDP|15500571043004648175|22</stp>
        <stp>USDCLPV2M BGN Curncy</stp>
        <stp>Ask</stp>
        <tr r="H8" s="1"/>
      </tp>
      <tp>
        <v>481.23</v>
        <stp/>
        <stp>BDP|3756308962274670088|22</stp>
        <stp>EUR3Y BGN Curncy</stp>
        <stp>Bid</stp>
        <tr r="C26" s="5"/>
      </tp>
      <tp>
        <v>42.74</v>
        <stp/>
        <stp>BDP|8484140663384885958|22</stp>
        <stp>EUR3M BGN Curncy</stp>
        <stp>Bid</stp>
        <tr r="C13" s="5"/>
      </tp>
      <tp>
        <v>9.8690999999999995</v>
        <stp/>
        <stp>BDP|7233322215689867676|22</stp>
        <stp>CHEUN9M BGN Curncy</stp>
        <stp>Ask</stp>
        <tr r="O11" s="2"/>
      </tp>
      <tp>
        <v>12.29</v>
        <stp/>
        <stp>BDP|10914478385217596653|22</stp>
        <stp>USDCLPV6M GFFX Curncy</stp>
        <stp>Mid</stp>
        <tr r="G11" s="4"/>
      </tp>
      <tp>
        <v>11.4</v>
        <stp/>
        <stp>BDP|14893702279515331005|22</stp>
        <stp>USDCLPV4Y BGN Curncy</stp>
        <stp>Bid</stp>
        <tr r="G17" s="1"/>
      </tp>
      <tp>
        <v>1.96</v>
        <stp/>
        <stp>BDP|9796044793348501612|22</stp>
        <stp>USDCLP25R10Y GFFX Curncy</stp>
        <stp>Mid</stp>
        <tr r="H20" s="4"/>
      </tp>
      <tp>
        <v>14.26</v>
        <stp/>
        <stp>BDP|7999027538460058550|22</stp>
        <stp>EUR1M BGN Curncy</stp>
        <stp>Bid</stp>
        <tr r="C11" s="5"/>
      </tp>
      <tp>
        <v>4.4653</v>
        <stp/>
        <stp>BDP|8170096483116330959|22</stp>
        <stp>CHEUN4M BGN Curncy</stp>
        <stp>Mid</stp>
        <tr r="P8" s="2"/>
      </tp>
      <tp>
        <v>12.5</v>
        <stp/>
        <stp>BDP|11253579011437736994|22</stp>
        <stp>USDCLPV2M GFFX Curncy</stp>
        <stp>Mid</stp>
        <tr r="G8" s="4"/>
      </tp>
      <tp>
        <v>12.09</v>
        <stp/>
        <stp>BDP|15167879695384006025|22</stp>
        <stp>USDCLPV4M BGN Curncy</stp>
        <stp>Bid</stp>
        <tr r="G10" s="1"/>
      </tp>
      <tp>
        <v>12.43</v>
        <stp/>
        <stp>BDP|18295032059561239319|22</stp>
        <stp>USDCLPV9M BGN Curncy</stp>
        <stp>Mid</stp>
        <tr r="G12" s="3"/>
      </tp>
      <tp>
        <v>13.71</v>
        <stp/>
        <stp>BDP|17589582640244693111|22</stp>
        <stp>USDCLPVON GFFX Curncy</stp>
        <stp>Mid</stp>
        <tr r="G3" s="4"/>
      </tp>
      <tp>
        <v>14.73</v>
        <stp/>
        <stp>BDP|13546203429359680939|22</stp>
        <stp>USDCLPV7Y BGN Curncy</stp>
        <stp>Ask</stp>
        <tr r="H19" s="1"/>
      </tp>
      <tp>
        <v>782.5</v>
        <stp/>
        <stp>BDP|8454700072092794551|22</stp>
        <stp>EUR5Y BGN Curncy</stp>
        <stp>Mid</stp>
        <tr r="E28" s="5"/>
      </tp>
      <tp>
        <v>5.4341999999999997</v>
        <stp/>
        <stp>BDP|8220083351524708011|22</stp>
        <stp>CHEUN5M BGN Curncy</stp>
        <stp>Mid</stp>
        <tr r="P9" s="2"/>
      </tp>
      <tp>
        <v>12.29</v>
        <stp/>
        <stp>BDP|11952285350979264062|22</stp>
        <stp>USDCLPV9M GFFX Curncy</stp>
        <stp>Mid</stp>
        <tr r="G12" s="4"/>
      </tp>
      <tp>
        <v>13.48</v>
        <stp/>
        <stp>BDP|12240313962601033967|22</stp>
        <stp>USDCLPVON BGN Curncy</stp>
        <stp>Bid</stp>
        <tr r="G3" s="1"/>
      </tp>
      <tp>
        <v>13.24</v>
        <stp/>
        <stp>BDP|15575144342374358891|22</stp>
        <stp>USDCLPV2Y BGN Curncy</stp>
        <stp>Ask</stp>
        <tr r="H15" s="1"/>
      </tp>
      <tp>
        <v>68.900000000000006</v>
        <stp/>
        <stp>BDP|9472917248043844733|22</stp>
        <stp>EUR5M BGN Curncy</stp>
        <stp>Mid</stp>
        <tr r="E17" s="5"/>
      </tp>
      <tp>
        <v>2.5647000000000002</v>
        <stp/>
        <stp>BDP|5688935351850542969|22</stp>
        <stp>CHEUN2M BGN Curncy</stp>
        <stp>Ask</stp>
        <tr r="O6" s="2"/>
      </tp>
      <tp>
        <v>4.25</v>
        <stp/>
        <stp>BDP|57058613784470942|22</stp>
        <stp>USDCLP10R3M BGN Curncy</stp>
        <stp>Ask</stp>
        <tr r="N9" s="1"/>
      </tp>
      <tp>
        <v>4.8529</v>
        <stp/>
        <stp>BDP|317060885273363286|22</stp>
        <stp>CHSWP4 Curncy</stp>
        <stp>ask</stp>
        <tr r="F45" s="2"/>
      </tp>
      <tp>
        <v>2.2000000000000002</v>
        <stp/>
        <stp>BDP|4858697203217698360|22</stp>
        <stp>USDCLP10B5Y GFFX Curncy</stp>
        <stp>Mid</stp>
        <tr r="K18" s="4"/>
      </tp>
      <tp>
        <v>12.88</v>
        <stp/>
        <stp>BDP|17911067603110766605|22</stp>
        <stp>USDCLPV2M BGN Curncy</stp>
        <stp>Mid</stp>
        <tr r="G8" s="3"/>
      </tp>
      <tp>
        <v>14.12</v>
        <stp/>
        <stp>BDP|14103372386492843087|22</stp>
        <stp>USDCLPV3W BGN Curncy</stp>
        <stp>Ask</stp>
        <tr r="H6" s="1"/>
      </tp>
      <tp>
        <v>29.525700000000001</v>
        <stp/>
        <stp>BDP|9730139516087533271|22</stp>
        <stp>CHEUN2Y BGN Curncy</stp>
        <stp>Bid</stp>
        <tr r="N13" s="2"/>
      </tp>
      <tp>
        <v>927.25</v>
        <stp/>
        <stp>BDP|2910193520144040712|22</stp>
        <stp>CLP REGN Curncy</stp>
        <stp>Ask</stp>
        <tr r="D3" s="2"/>
        <tr r="G3" s="2"/>
      </tp>
      <tp>
        <v>0.21</v>
        <stp/>
        <stp>BDP|9179297834823933712|22</stp>
        <stp>USDCLP25BON GFFX Curncy</stp>
        <stp>Mid</stp>
        <tr r="I3" s="4"/>
      </tp>
      <tp>
        <v>12.907500000000001</v>
        <stp/>
        <stp>BDP|17181235645240791304|22</stp>
        <stp>USDCLPV2W BGN Curncy</stp>
        <stp>Mid</stp>
        <tr r="G5" s="3"/>
      </tp>
      <tp>
        <v>0.37</v>
        <stp/>
        <stp>BDP|7550728680701976661|22</stp>
        <stp>USDCLP25B9M GFFX Curncy</stp>
        <stp>Mid</stp>
        <tr r="I12" s="4"/>
      </tp>
      <tp>
        <v>1.37</v>
        <stp/>
        <stp>BDP|4908701758779398753|22</stp>
        <stp>USDCLP10B1Y GFFX Curncy</stp>
        <stp>Mid</stp>
        <tr r="K13" s="4"/>
      </tp>
      <tp>
        <v>1.78</v>
        <stp/>
        <stp>BDP|3439490829141889673|22</stp>
        <stp>USDCLP25R15Y GFFX Curncy</stp>
        <stp>Mid</stp>
        <tr r="H21" s="4"/>
      </tp>
      <tp>
        <v>125.1</v>
        <stp/>
        <stp>BDP|7436305100595422327|22</stp>
        <stp>EUR9M BGN Curncy</stp>
        <stp>Mid</stp>
        <tr r="E21" s="5"/>
      </tp>
      <tp>
        <v>1.3123</v>
        <stp/>
        <stp>BDP|6197357800657902312|22</stp>
        <stp>CHEUN1M BGN Curncy</stp>
        <stp>Ask</stp>
        <tr r="O5" s="2"/>
      </tp>
      <tp>
        <v>13.01</v>
        <stp/>
        <stp>BDP|17350307215345369313|22</stp>
        <stp>USDCLPV1M BGN Curncy</stp>
        <stp>Mid</stp>
        <tr r="G7" s="3"/>
      </tp>
      <tp>
        <v>12.8</v>
        <stp/>
        <stp>BDP|13875541356302285247|22</stp>
        <stp>USDCLPV3Y BGN Curncy</stp>
        <stp>Mid</stp>
        <tr r="G16" s="3"/>
      </tp>
      <tp>
        <v>637.73</v>
        <stp/>
        <stp>BDP|8375335612861061455|22</stp>
        <stp>EUR4Y BGN Curncy</stp>
        <stp>Ask</stp>
        <tr r="D27" s="5"/>
      </tp>
      <tp>
        <v>14.31</v>
        <stp/>
        <stp>BDP|6054965296751210487|22</stp>
        <stp>EUR1M BGN Curncy</stp>
        <stp>Mid</stp>
        <tr r="E11" s="5"/>
      </tp>
      <tp>
        <v>67.101600000000005</v>
        <stp/>
        <stp>BDP|5412491108103942458|22</stp>
        <stp>CHEUN4Y BGN Curncy</stp>
        <stp>Ask</stp>
        <tr r="O15" s="2"/>
      </tp>
      <tp>
        <v>4.835</v>
        <stp/>
        <stp>BDP|812379703518980077|22</stp>
        <stp>CHSWP4 Curncy</stp>
        <stp>mid</stp>
        <tr r="G45" s="2"/>
      </tp>
      <tp>
        <v>2.4367000000000001</v>
        <stp/>
        <stp>BDP|6854185606382138951|22</stp>
        <stp>CHEUN2M BGN Curncy</stp>
        <stp>Mid</stp>
        <tr r="P6" s="2"/>
      </tp>
      <tp>
        <v>926.78</v>
        <stp/>
        <stp>BDP|7321093100484723002|22</stp>
        <stp>CLP REGN Curncy</stp>
        <stp>Mid</stp>
        <tr r="H3" s="2"/>
        <tr r="E3" s="2"/>
      </tp>
      <tp>
        <v>0.3</v>
        <stp/>
        <stp>BDP|5496590055536303246|22</stp>
        <stp>USDCLP25B3M GFFX Curncy</stp>
        <stp>Mid</stp>
        <tr r="I9" s="4"/>
      </tp>
      <tp>
        <v>5.2221000000000002</v>
        <stp/>
        <stp>BDP|228433439312133955|22</stp>
        <stp>CHSWP9 Curncy</stp>
        <stp>bid</stp>
        <tr r="E50" s="2"/>
      </tp>
      <tp>
        <v>325.52999999999997</v>
        <stp/>
        <stp>BDP|1557432515989757728|22</stp>
        <stp>EUR2Y BGN Curncy</stp>
        <stp>Bid</stp>
        <tr r="C25" s="5"/>
      </tp>
      <tp>
        <v>9.5428999999999995</v>
        <stp/>
        <stp>BDP|7073523374831881957|22</stp>
        <stp>CHEUN9M BGN Curncy</stp>
        <stp>Mid</stp>
        <tr r="P11" s="2"/>
      </tp>
      <tp>
        <v>0.21240000000000001</v>
        <stp/>
        <stp>BDP|6161549767091001643|22</stp>
        <stp>CHEUN1W BGN Curncy</stp>
        <stp>Bid</stp>
        <tr r="N4" s="2"/>
      </tp>
      <tp>
        <v>12.43</v>
        <stp/>
        <stp>BDP|15640668872884083211|22</stp>
        <stp>USDCLPV1M GFFX Curncy</stp>
        <stp>Mid</stp>
        <tr r="G7" s="4"/>
      </tp>
      <tp>
        <v>12.74</v>
        <stp/>
        <stp>BDP|12314928380846616315|22</stp>
        <stp>USDCLPV3M BGN Curncy</stp>
        <stp>Mid</stp>
        <tr r="G9" s="3"/>
      </tp>
      <tp>
        <v>55.42</v>
        <stp/>
        <stp>BDP|2744810652303614501|22</stp>
        <stp>EUR4M BGN Curncy</stp>
        <stp>Bid</stp>
        <tr r="C16" s="5"/>
      </tp>
      <tp>
        <v>633.45000000000005</v>
        <stp/>
        <stp>BDP|5967766127012343472|22</stp>
        <stp>EUR4Y BGN Curncy</stp>
        <stp>Mid</stp>
        <tr r="E27" s="5"/>
      </tp>
      <tp>
        <v>4.6052999999999997</v>
        <stp/>
        <stp>BDP|8488665096937592753|22</stp>
        <stp>CHEUN4M BGN Curncy</stp>
        <stp>Ask</stp>
        <tr r="O8" s="2"/>
      </tp>
      <tp>
        <v>4.4950000000000001</v>
        <stp/>
        <stp>BDP|261997661464621321|22</stp>
        <stp>CHSWPD Curncy</stp>
        <stp>bid</stp>
        <tr r="E34" s="2"/>
      </tp>
      <tp>
        <v>12.36</v>
        <stp/>
        <stp>BDP|15587013733443559279|22</stp>
        <stp>USDCLPV1Y BGN Curncy</stp>
        <stp>Mid</stp>
        <tr r="G13" s="3"/>
      </tp>
      <tp>
        <v>0.4</v>
        <stp/>
        <stp>BDP|4903913388541441875|22</stp>
        <stp>USDCLP25B1Y GFFX Curncy</stp>
        <stp>Mid</stp>
        <tr r="I13" s="4"/>
      </tp>
      <tp>
        <v>484.38</v>
        <stp/>
        <stp>BDP|1981663850933106663|22</stp>
        <stp>EUR3Y BGN Curncy</stp>
        <stp>Mid</stp>
        <tr r="E26" s="5"/>
      </tp>
      <tp>
        <v>9.39</v>
        <stp/>
        <stp>BDP|3493675843033161872|22</stp>
        <stp>USDCLPV15Y BGN Curncy</stp>
        <stp>Bid</stp>
        <tr r="G21" s="1"/>
      </tp>
      <tp>
        <v>13.07</v>
        <stp/>
        <stp>BDP|3377527836999016422|22</stp>
        <stp>USDCLPV18M BGN Curncy</stp>
        <stp>Ask</stp>
        <tr r="H14" s="1"/>
      </tp>
      <tp>
        <v>787.95</v>
        <stp/>
        <stp>BDP|65794558736066548|22</stp>
        <stp>EUR5Y BGN Curncy</stp>
        <stp>Ask</stp>
        <tr r="D28" s="5"/>
      </tp>
      <tp>
        <v>4.05</v>
        <stp/>
        <stp>BDP|2181030849221271875|22</stp>
        <stp>USDCLP10R5Y GFFX Curncy</stp>
        <stp>Mid</stp>
        <tr r="J18" s="4"/>
      </tp>
      <tp>
        <v>3.82</v>
        <stp/>
        <stp>BDP|9194159410325448776|22</stp>
        <stp>USDCLP10R6M GFFX Curncy</stp>
        <stp>Mid</stp>
        <tr r="J11" s="4"/>
      </tp>
      <tp>
        <v>-0.4</v>
        <stp/>
        <stp>BDP|7354145966695947006|22</stp>
        <stp>CHN3M BGN Curncy</stp>
        <stp>Mid</stp>
        <tr r="E10" s="2"/>
      </tp>
      <tp>
        <v>-7.0000000000000007E-2</v>
        <stp/>
        <stp>BDP|6120561274251237099|22</stp>
        <stp>CHN1M BGN Curncy</stp>
        <stp>Mid</stp>
        <tr r="E8" s="2"/>
      </tp>
      <tp>
        <v>0.185</v>
        <stp/>
        <stp>BDP|16958764259019463673|22</stp>
        <stp>USDCLP25B6M BGN Curncy</stp>
        <stp>Bid</stp>
        <tr r="K11" s="1"/>
      </tp>
      <tp>
        <v>0.01</v>
        <stp/>
        <stp>BDP|9604323626769221821|22</stp>
        <stp>CHN1W BGN Curncy</stp>
        <stp>Ask</stp>
        <tr r="D5" s="2"/>
      </tp>
      <tp>
        <v>1.615</v>
        <stp/>
        <stp>BDP|14662882873549928917|22</stp>
        <stp>USDCLP25R2Y BGN Curncy</stp>
        <stp>Bid</stp>
        <tr r="I15" s="1"/>
      </tp>
      <tp>
        <v>0.66249999999999998</v>
        <stp/>
        <stp>BDP|16895954739501771515|22</stp>
        <stp>USDCLP25B3Y BGN Curncy</stp>
        <stp>Mid</stp>
        <tr r="I16" s="3"/>
      </tp>
      <tp>
        <v>1.5575000000000001</v>
        <stp/>
        <stp>BDP|12838868462075249150|22</stp>
        <stp>USDCLP10B2Y BGN Curncy</stp>
        <stp>Mid</stp>
        <tr r="K15" s="3"/>
      </tp>
      <tp>
        <v>3.0049999999999999</v>
        <stp/>
        <stp>BDP|16397124509847029251|22</stp>
        <stp>USDCLP25R5Y BGN Curncy</stp>
        <stp>Ask</stp>
        <tr r="J18" s="1"/>
      </tp>
      <tp>
        <v>4.585</v>
        <stp/>
        <stp>BDP|12242143787665162764|22</stp>
        <stp>USDCLP10R2Y BGN Curncy</stp>
        <stp>Ask</stp>
        <tr r="N15" s="1"/>
      </tp>
      <tp>
        <v>0.77</v>
        <stp/>
        <stp>BDP|13151087373560588545|22</stp>
        <stp>USDCLP25B5Y BGN Curncy</stp>
        <stp>Mid</stp>
        <tr r="I18" s="3"/>
      </tp>
      <tp>
        <v>-1.72</v>
        <stp/>
        <stp>BDP|9652830466879390534|22</stp>
        <stp>CHN8M BGN Curncy</stp>
        <stp>Bid</stp>
        <tr r="C15" s="2"/>
      </tp>
      <tp>
        <v>-1.18</v>
        <stp/>
        <stp>BDP|6352931959054890640|22</stp>
        <stp>CHN7M BGN Curncy</stp>
        <stp>Ask</stp>
        <tr r="D14" s="2"/>
      </tp>
      <tp>
        <v>0.93500000000000005</v>
        <stp/>
        <stp>BDP|11187099711595281619|22</stp>
        <stp>USDCLP25R4Y BGN Curncy</stp>
        <stp>Bid</stp>
        <tr r="I17" s="1"/>
      </tp>
      <tp>
        <v>-0.02</v>
        <stp/>
        <stp>BDP|1625396180924168624|22</stp>
        <stp>CHN1M BGN Curncy</stp>
        <stp>Ask</stp>
        <tr r="D8" s="2"/>
      </tp>
      <tp>
        <v>0.74</v>
        <stp/>
        <stp>BDP|16802345240149489529|22</stp>
        <stp>USDCLP25R2W BGN Curncy</stp>
        <stp>Bid</stp>
        <tr r="I5" s="1"/>
      </tp>
      <tp>
        <v>1.57</v>
        <stp/>
        <stp>BDP|14698778577480143187|22</stp>
        <stp>USDCLP25B7Y BGN Curncy</stp>
        <stp>Ask</stp>
        <tr r="L19" s="1"/>
      </tp>
      <tp>
        <v>35.01</v>
        <stp/>
        <stp>BDP|2917353629486501841|22</stp>
        <stp>EURMB10 BGN Curncy</stp>
        <stp>Mid</stp>
        <tr r="E20" s="5"/>
      </tp>
      <tp>
        <v>2.99</v>
        <stp/>
        <stp>BDP|8069170416004335396|22</stp>
        <stp>USDCLP10R2W GFFX Curncy</stp>
        <stp>Mid</stp>
        <tr r="J5" s="4"/>
      </tp>
      <tp>
        <v>0.46500000000000002</v>
        <stp/>
        <stp>BDP|11393591705752262670|22</stp>
        <stp>USDCLP25B9M BGN Curncy</stp>
        <stp>Mid</stp>
        <tr r="I12" s="3"/>
      </tp>
      <tp>
        <v>-1.4999999999999999E-2</v>
        <stp/>
        <stp>BDP|18232123566316020442|22</stp>
        <stp>USDCLP10B2W BGN Curncy</stp>
        <stp>Bid</stp>
        <tr r="O5" s="1"/>
      </tp>
      <tp>
        <v>-1.7</v>
        <stp/>
        <stp>BDP|1155453175264877132|22</stp>
        <stp>CHN9M BGN Curncy</stp>
        <stp>Mid</stp>
        <tr r="E16" s="2"/>
      </tp>
      <tp>
        <v>1.1499999999999999</v>
        <stp/>
        <stp>BDP|11936677807656982906|22</stp>
        <stp>USDCLP10B3M BGN Curncy</stp>
        <stp>Mid</stp>
        <tr r="K9" s="3"/>
      </tp>
      <tp t="s">
        <v>#N/A Requesting Data...2528733083</v>
        <stp/>
        <stp>BDP|17381547643259278752</stp>
        <tr r="B34" s="2"/>
      </tp>
      <tp>
        <v>7.19</v>
        <stp/>
        <stp>BDP|18168374822546244183|22</stp>
        <stp>USDCLP10RON BGN Curncy</stp>
        <stp>Ask</stp>
        <tr r="N3" s="1"/>
      </tp>
      <tp>
        <v>1.3875</v>
        <stp/>
        <stp>BDP|17469720101118766908|22</stp>
        <stp>USDCLP25RON BGN Curncy</stp>
        <stp>Mid</stp>
        <tr r="H3" s="3"/>
      </tp>
      <tp>
        <v>4.04</v>
        <stp/>
        <stp>BDP|3140860488988425229|22</stp>
        <stp>USDCLP10R3Y GFFX Curncy</stp>
        <stp>Mid</stp>
        <tr r="J16" s="4"/>
      </tp>
      <tp>
        <v>-1.92</v>
        <stp/>
        <stp>BDP|2767849863160792583|22</stp>
        <stp>CHN9M BGN Curncy</stp>
        <stp>Bid</stp>
        <tr r="C16" s="2"/>
      </tp>
      <tp>
        <v>2.2650000000000001</v>
        <stp/>
        <stp>BDP|12232332686536296759|22</stp>
        <stp>USDCLP25R9M BGN Curncy</stp>
        <stp>Ask</stp>
        <tr r="J12" s="1"/>
      </tp>
      <tp>
        <v>-1.18</v>
        <stp/>
        <stp>BDP|7408826777109461763|22</stp>
        <stp>CHN6M BGN Curncy</stp>
        <stp>Mid</stp>
        <tr r="E13" s="2"/>
      </tp>
      <tp>
        <v>1.9375</v>
        <stp/>
        <stp>BDP|12003824231077996335|22</stp>
        <stp>USDCLP25R6M BGN Curncy</stp>
        <stp>Mid</stp>
        <tr r="H11" s="3"/>
      </tp>
      <tp>
        <v>1.1200000000000001</v>
        <stp/>
        <stp>BDP|13524672885837689434|22</stp>
        <stp>USDCLP25B1W BGN Curncy</stp>
        <stp>Ask</stp>
        <tr r="L4" s="1"/>
      </tp>
      <tp>
        <v>4.0199999999999996</v>
        <stp/>
        <stp>BDP|8499364660080519188|22</stp>
        <stp>USDCLP10R2Y GFFX Curncy</stp>
        <stp>Mid</stp>
        <tr r="J15" s="4"/>
      </tp>
      <tp>
        <v>-1.49</v>
        <stp/>
        <stp>BDP|7850949243777144338|22</stp>
        <stp>CHN7M BGN Curncy</stp>
        <stp>Bid</stp>
        <tr r="C14" s="2"/>
      </tp>
      <tp t="s">
        <v>#N/A Requesting Data...1606362613</v>
        <stp/>
        <stp>BDP|12815917371910151235</stp>
        <tr r="B33" s="2"/>
      </tp>
      <tp>
        <v>0.40749999999999997</v>
        <stp/>
        <stp>BDP|18396636666797043693|22</stp>
        <stp>USDCLP25B4M BGN Curncy</stp>
        <stp>Mid</stp>
        <tr r="I10" s="3"/>
      </tp>
      <tp>
        <v>5.74</v>
        <stp/>
        <stp>BDP|9894963378063747572|22</stp>
        <stp>CHN4Y BGN Curncy</stp>
        <stp>Mid</stp>
        <tr r="E23" s="2"/>
      </tp>
      <tp>
        <v>3.1349999999999998</v>
        <stp/>
        <stp>BDP|14815342104627016531|22</stp>
        <stp>USDCLP10R4M BGN Curncy</stp>
        <stp>Bid</stp>
        <tr r="M10" s="1"/>
      </tp>
      <tp>
        <v>3.9649999999999999</v>
        <stp/>
        <stp>BDP|15826349504707324154|22</stp>
        <stp>USDCLP10R2Y BGN Curncy</stp>
        <stp>Mid</stp>
        <tr r="J15" s="3"/>
      </tp>
      <tp>
        <v>1.9775</v>
        <stp/>
        <stp>BDP|14482314415499247243|22</stp>
        <stp>USDCLP25R2Y BGN Curncy</stp>
        <stp>Mid</stp>
        <tr r="H15" s="3"/>
      </tp>
      <tp>
        <v>2.9449999999999998</v>
        <stp/>
        <stp>BDP|10279418675987525652|22</stp>
        <stp>USDCLP10B4Y BGN Curncy</stp>
        <stp>Ask</stp>
        <tr r="P17" s="1"/>
      </tp>
      <tp>
        <v>-1.31</v>
        <stp/>
        <stp>BDP|2380581126470230843|22</stp>
        <stp>CHN8M BGN Curncy</stp>
        <stp>Ask</stp>
        <tr r="D15" s="2"/>
      </tp>
      <tp>
        <v>2.33</v>
        <stp/>
        <stp>BDP|12138163589984380917|22</stp>
        <stp>USDCLP10B1W BGN Curncy</stp>
        <stp>Ask</stp>
        <tr r="P4" s="1"/>
      </tp>
      <tp>
        <v>35.51</v>
        <stp/>
        <stp>BDP|2478969183348898278|22</stp>
        <stp>EURMB10 BGN Curncy</stp>
        <stp>Ask</stp>
        <tr r="D20" s="5"/>
      </tp>
      <tp>
        <v>4.32</v>
        <stp/>
        <stp>BDP|18102357479700449023|22</stp>
        <stp>USDCLP10R1M BGN Curncy</stp>
        <stp>Ask</stp>
        <tr r="N7" s="1"/>
      </tp>
      <tp t="s">
        <v>#N/A Requesting Data...2529096986</v>
        <stp/>
        <stp>BDP|11194617390847318621</stp>
        <tr r="B44" s="2"/>
      </tp>
      <tp>
        <v>-0.23</v>
        <stp/>
        <stp>BDP|17148599465470286560|22</stp>
        <stp>USDCLP25B3W BGN Curncy</stp>
        <stp>Bid</stp>
        <tr r="K6" s="1"/>
      </tp>
      <tp>
        <v>1.97</v>
        <stp/>
        <stp>BDP|13876064392763473057|22</stp>
        <stp>USDCLP10R3W BGN Curncy</stp>
        <stp>Bid</stp>
        <tr r="M6" s="1"/>
      </tp>
      <tp>
        <v>0.73499999999999999</v>
        <stp/>
        <stp>BDP|13651865559650248110|22</stp>
        <stp>USDCLP25B2M BGN Curncy</stp>
        <stp>Ask</stp>
        <tr r="L8" s="1"/>
      </tp>
      <tp>
        <v>1.3</v>
        <stp/>
        <stp>BDP|4600927922503201042|22</stp>
        <stp>CHN2Y BGN Curncy</stp>
        <stp>Ask</stp>
        <tr r="D21" s="2"/>
      </tp>
      <tp>
        <v>1.6525000000000001</v>
        <stp/>
        <stp>BDP|11019206663410587055|22</stp>
        <stp>USDCLP25R2W BGN Curncy</stp>
        <stp>Mid</stp>
        <tr r="H5" s="3"/>
      </tp>
      <tp>
        <v>5.6227999999999998</v>
        <stp/>
        <stp>BDP|3503914498665826359|22</stp>
        <stp>CHSWP20 Curncy</stp>
        <stp>ask</stp>
        <tr r="F52" s="2"/>
      </tp>
      <tp>
        <v>0.28000000000000003</v>
        <stp/>
        <stp>BDP|10710836121211181400|22</stp>
        <stp>USDCLP25BON BGN Curncy</stp>
        <stp>Mid</stp>
        <tr r="I3" s="3"/>
      </tp>
      <tp>
        <v>2.5049999999999999</v>
        <stp/>
        <stp>BDP|14892694686846719615|22</stp>
        <stp>USDCLP25R3W BGN Curncy</stp>
        <stp>Ask</stp>
        <tr r="J6" s="1"/>
      </tp>
      <tp>
        <v>-2.08</v>
        <stp/>
        <stp>BDP|16714711237740907880|22</stp>
        <stp>USDCLP10BON BGN Curncy</stp>
        <stp>Bid</stp>
        <tr r="O3" s="1"/>
      </tp>
      <tp>
        <v>-0.6</v>
        <stp/>
        <stp>BDP|4006274705040400552|22</stp>
        <stp>CHN4M BGN Curncy</stp>
        <stp>Mid</stp>
        <tr r="E11" s="2"/>
      </tp>
      <tp>
        <v>6.32</v>
        <stp/>
        <stp>BDP|9434948999644444287|22</stp>
        <stp>CHN3Y BGN Curncy</stp>
        <stp>Ask</stp>
        <tr r="D22" s="2"/>
      </tp>
      <tp>
        <v>0.68</v>
        <stp/>
        <stp>BDP|10760232563021865113|22</stp>
        <stp>USDCLP25B6M BGN Curncy</stp>
        <stp>Ask</stp>
        <tr r="L11" s="1"/>
      </tp>
      <tp>
        <v>1.605</v>
        <stp/>
        <stp>BDP|12019426109776450542|22</stp>
        <stp>USDCLP10R2W BGN Curncy</stp>
        <stp>Bid</stp>
        <tr r="M5" s="1"/>
      </tp>
      <tp>
        <v>1.71</v>
        <stp/>
        <stp>BDP|8718893392448642184|22</stp>
        <stp>USDCLP25R1M GFFX Curncy</stp>
        <stp>Mid</stp>
        <tr r="H7" s="4"/>
      </tp>
      <tp>
        <v>1.98</v>
        <stp/>
        <stp>BDP|2919158688632411911|22</stp>
        <stp>USDCLP25R9M GFFX Curncy</stp>
        <stp>Mid</stp>
        <tr r="H12" s="4"/>
      </tp>
      <tp>
        <v>1.85</v>
        <stp/>
        <stp>BDP|1605628955465947955|22</stp>
        <stp>USDCLP25R3M GFFX Curncy</stp>
        <stp>Mid</stp>
        <tr r="H9" s="4"/>
      </tp>
      <tp>
        <v>0.4325</v>
        <stp/>
        <stp>BDP|18115050661624680833|22</stp>
        <stp>USDCLP25B6M BGN Curncy</stp>
        <stp>Mid</stp>
        <tr r="I11" s="3"/>
      </tp>
      <tp>
        <v>0.3125</v>
        <stp/>
        <stp>BDP|17983615168651002197|22</stp>
        <stp>USDCLP25B2W BGN Curncy</stp>
        <stp>Mid</stp>
        <tr r="I5" s="3"/>
      </tp>
      <tp>
        <v>0.49</v>
        <stp/>
        <stp>BDP|11546379707058208571|22</stp>
        <stp>USDCLP25B1Y BGN Curncy</stp>
        <stp>Mid</stp>
        <tr r="I13" s="3"/>
      </tp>
      <tp>
        <v>4.32</v>
        <stp/>
        <stp>BDP|15295174708855673507|22</stp>
        <stp>USDCLP10R4M BGN Curncy</stp>
        <stp>Ask</stp>
        <tr r="N10" s="1"/>
      </tp>
      <tp>
        <v>0.75</v>
        <stp/>
        <stp>BDP|10709397198335025660|22</stp>
        <stp>USDCLP10B3M BGN Curncy</stp>
        <stp>Bid</stp>
        <tr r="O9" s="1"/>
      </tp>
      <tp>
        <v>2.1749999999999998</v>
        <stp/>
        <stp>BDP|10050004307383863774|22</stp>
        <stp>USDCLP25BON BGN Curncy</stp>
        <stp>Ask</stp>
        <tr r="L3" s="1"/>
      </tp>
      <tp>
        <v>1.595</v>
        <stp/>
        <stp>BDP|14974106153634708122|22</stp>
        <stp>USDCLP10B4M BGN Curncy</stp>
        <stp>Ask</stp>
        <tr r="P10" s="1"/>
      </tp>
      <tp>
        <v>1.95</v>
        <stp/>
        <stp>BDP|11854395212341004706|22</stp>
        <stp>USDCLP10B3W BGN Curncy</stp>
        <stp>Ask</stp>
        <tr r="P6" s="1"/>
      </tp>
      <tp>
        <v>3.06</v>
        <stp/>
        <stp>BDP|11602781392065408588|22</stp>
        <stp>USDCLP10R1W BGN Curncy</stp>
        <stp>Mid</stp>
        <tr r="J4" s="3"/>
      </tp>
      <tp>
        <v>1.53</v>
        <stp/>
        <stp>BDP|1635439528671875563|22</stp>
        <stp>USDCLP25R2W GFFX Curncy</stp>
        <stp>Mid</stp>
        <tr r="H5" s="4"/>
      </tp>
      <tp>
        <v>2</v>
        <stp/>
        <stp>BDP|8177249402550474575|22</stp>
        <stp>USDCLP25R1Y GFFX Curncy</stp>
        <stp>Mid</stp>
        <tr r="H13" s="4"/>
      </tp>
      <tp>
        <v>2.5649999999999999</v>
        <stp/>
        <stp>BDP|13800452026015588195|22</stp>
        <stp>USDCLP25R2W BGN Curncy</stp>
        <stp>Ask</stp>
        <tr r="J5" s="1"/>
      </tp>
      <tp>
        <v>1.01</v>
        <stp/>
        <stp>BDP|10958256235597086437|22</stp>
        <stp>USDCLP10B1Y BGN Curncy</stp>
        <stp>Bid</stp>
        <tr r="O13" s="1"/>
      </tp>
      <tp>
        <v>-0.03</v>
        <stp/>
        <stp>BDP|13294904303835191060|22</stp>
        <stp>USDCLP25B1M BGN Curncy</stp>
        <stp>Bid</stp>
        <tr r="K7" s="1"/>
      </tp>
      <tp t="s">
        <v>#N/A Requesting Data...2881844992</v>
        <stp/>
        <stp>BDP|10760471245496867418</stp>
        <tr r="B41" s="2"/>
      </tp>
      <tp>
        <v>0.57499999999999996</v>
        <stp/>
        <stp>BDP|11176671313797295211|22</stp>
        <stp>USDCLP10B3Y BGN Curncy</stp>
        <stp>Bid</stp>
        <tr r="O16" s="1"/>
      </tp>
      <tp>
        <v>0.65500000000000003</v>
        <stp/>
        <stp>BDP|17115567126580595655|22</stp>
        <stp>USDCLP25B4M BGN Curncy</stp>
        <stp>Ask</stp>
        <tr r="L10" s="1"/>
      </tp>
      <tp>
        <v>1.9624999999999999</v>
        <stp/>
        <stp>BDP|16803104647675715180|22</stp>
        <stp>USDCLP25R3Y BGN Curncy</stp>
        <stp>Mid</stp>
        <tr r="H16" s="3"/>
      </tp>
      <tp>
        <v>3.8050000000000002</v>
        <stp/>
        <stp>BDP|17731495320780770490|22</stp>
        <stp>USDCLP10R6M BGN Curncy</stp>
        <stp>Mid</stp>
        <tr r="J11" s="3"/>
      </tp>
      <tp>
        <v>2.0099999999999998</v>
        <stp/>
        <stp>BDP|3005240600881108167|22</stp>
        <stp>USDCLP25R2Y GFFX Curncy</stp>
        <stp>Mid</stp>
        <tr r="H15" s="4"/>
      </tp>
      <tp>
        <v>-0.01</v>
        <stp/>
        <stp>BDP|16177294675331344979|22</stp>
        <stp>USDCLP25B4Y BGN Curncy</stp>
        <stp>Bid</stp>
        <tr r="K17" s="1"/>
      </tp>
      <tp>
        <v>0.13500000000000001</v>
        <stp/>
        <stp>BDP|18046296893817727275|22</stp>
        <stp>USDCLP25B3M BGN Curncy</stp>
        <stp>Bid</stp>
        <tr r="K9" s="1"/>
      </tp>
      <tp>
        <v>-0.08</v>
        <stp/>
        <stp>BDP|2107076942223368635|22</stp>
        <stp>CHN3W BGN Curncy</stp>
        <stp>Bid</stp>
        <tr r="C7" s="2"/>
      </tp>
      <tp>
        <v>-0.33</v>
        <stp/>
        <stp>BDP|8026044965838727523|22</stp>
        <stp>CHN2M BGN Curncy</stp>
        <stp>Bid</stp>
        <tr r="C9" s="2"/>
      </tp>
      <tp>
        <v>2.59</v>
        <stp/>
        <stp>BDP|16034024490065686097|22</stp>
        <stp>USDCLP10R7Y BGN Curncy</stp>
        <stp>Bid</stp>
        <tr r="M19" s="1"/>
      </tp>
      <tp>
        <v>1.7825</v>
        <stp/>
        <stp>BDP|18109690514712017274|22</stp>
        <stp>USDCLP25R1M BGN Curncy</stp>
        <stp>Mid</stp>
        <tr r="H7" s="3"/>
      </tp>
      <tp>
        <v>5.3250000000000002</v>
        <stp/>
        <stp>BDP|7169588820337731497|22</stp>
        <stp>CHSWP10 Curncy</stp>
        <stp>mid</stp>
        <tr r="G51" s="2"/>
      </tp>
      <tp>
        <v>4.05</v>
        <stp/>
        <stp>BDP|5750732377677884813|22</stp>
        <stp>USDCLP10R7Y GFFX Curncy</stp>
        <stp>Mid</stp>
        <tr r="J19" s="4"/>
      </tp>
      <tp t="s">
        <v>#N/A Requesting Data...3475815159</v>
        <stp/>
        <stp>BDP|18164987751922017647</stp>
        <tr r="B40" s="2"/>
      </tp>
      <tp>
        <v>1.36</v>
        <stp/>
        <stp>BDP|15822165999404167791|22</stp>
        <stp>USDCLP10B1Y BGN Curncy</stp>
        <stp>Mid</stp>
        <tr r="K13" s="3"/>
      </tp>
      <tp>
        <v>1.96</v>
        <stp/>
        <stp>BDP|17052297379116130271|22</stp>
        <stp>USDCLP25R9M BGN Curncy</stp>
        <stp>Mid</stp>
        <tr r="H12" s="3"/>
      </tp>
      <tp>
        <v>3.3450000000000002</v>
        <stp/>
        <stp>BDP|10305797683421619829|22</stp>
        <stp>USDCLP10R2Y BGN Curncy</stp>
        <stp>Bid</stp>
        <tr r="M15" s="1"/>
      </tp>
      <tp>
        <v>12.6</v>
        <stp/>
        <stp>BDP|5971508575842836161|22</stp>
        <stp>USDCLPV18M BGN Curncy</stp>
        <stp>Mid</stp>
        <tr r="G14" s="3"/>
      </tp>
      <tp>
        <v>11.324999999999999</v>
        <stp/>
        <stp>BDP|7293278126869516446|22</stp>
        <stp>USDCLPV15Y BGN Curncy</stp>
        <stp>Mid</stp>
        <tr r="G21" s="3"/>
      </tp>
      <tp>
        <v>0.16</v>
        <stp/>
        <stp>BDP|16663426321061866799|22</stp>
        <stp>USDCLP25B4M BGN Curncy</stp>
        <stp>Bid</stp>
        <tr r="K10" s="1"/>
      </tp>
      <tp>
        <v>5.0199999999999996</v>
        <stp/>
        <stp>BDP|12965294950456966979|22</stp>
        <stp>USDCLP10R1W BGN Curncy</stp>
        <stp>Ask</stp>
        <tr r="N4" s="1"/>
      </tp>
      <tp>
        <v>4.6449999999999996</v>
        <stp/>
        <stp>BDP|17957398102030812775|22</stp>
        <stp>USDCLP10R3W BGN Curncy</stp>
        <stp>Ask</stp>
        <tr r="N6" s="1"/>
      </tp>
      <tp>
        <v>2.2749999999999999</v>
        <stp/>
        <stp>BDP|12365571617730457349|22</stp>
        <stp>USDCLP25R1Y BGN Curncy</stp>
        <stp>Ask</stp>
        <tr r="J13" s="1"/>
      </tp>
      <tp>
        <v>-0.12</v>
        <stp/>
        <stp>BDP|4909781120890787057|22</stp>
        <stp>CHN1M BGN Curncy</stp>
        <stp>Bid</stp>
        <tr r="C8" s="2"/>
      </tp>
      <tp>
        <v>-0.03</v>
        <stp/>
        <stp>BDP|7269098024721249623|22</stp>
        <stp>CHN3W BGN Curncy</stp>
        <stp>Ask</stp>
        <tr r="D7" s="2"/>
      </tp>
      <tp>
        <v>1.66</v>
        <stp/>
        <stp>BDP|10694365411858580605|22</stp>
        <stp>USDCLP10B9M BGN Curncy</stp>
        <stp>Ask</stp>
        <tr r="P12" s="1"/>
      </tp>
      <tp>
        <v>2.4049999999999998</v>
        <stp/>
        <stp>BDP|15949559402478974264|22</stp>
        <stp>USDCLP10R5Y BGN Curncy</stp>
        <stp>Bid</stp>
        <tr r="M18" s="1"/>
      </tp>
      <tp>
        <v>1.46</v>
        <stp/>
        <stp>BDP|7218845546887423430|22</stp>
        <stp>USDCLP25R1W GFFX Curncy</stp>
        <stp>Mid</stp>
        <tr r="H4" s="4"/>
      </tp>
      <tp>
        <v>-0.01</v>
        <stp/>
        <stp>BDP|5353475071506974919|22</stp>
        <stp>CHNSN BGN Curncy</stp>
        <stp>Mid</stp>
        <tr r="E4" s="2"/>
      </tp>
      <tp>
        <v>0.86</v>
        <stp/>
        <stp>BDP|17505822400037690896|22</stp>
        <stp>USDCLP10B7Y BGN Curncy</stp>
        <stp>Bid</stp>
        <tr r="O19" s="1"/>
      </tp>
      <tp>
        <v>-1.615</v>
        <stp/>
        <stp>BDP|11358616244867269645|22</stp>
        <stp>USDCLP25BON BGN Curncy</stp>
        <stp>Bid</stp>
        <tr r="K3" s="1"/>
      </tp>
      <tp>
        <v>-0.03</v>
        <stp/>
        <stp>BDP|3378169133621598974|22</stp>
        <stp>CHN1W BGN Curncy</stp>
        <stp>Mid</stp>
        <tr r="E5" s="2"/>
      </tp>
      <tp>
        <v>6.55</v>
        <stp/>
        <stp>BDP|4261888004008612188|22</stp>
        <stp>CHN4Y BGN Curncy</stp>
        <stp>Ask</stp>
        <tr r="D23" s="2"/>
      </tp>
      <tp>
        <v>3.0449999999999999</v>
        <stp/>
        <stp>BDP|11578878222057774885|22</stp>
        <stp>USDCLP10R3M BGN Curncy</stp>
        <stp>Bid</stp>
        <tr r="M9" s="1"/>
      </tp>
      <tp>
        <v>2.6349999999999998</v>
        <stp/>
        <stp>BDP|14035169746797671567|22</stp>
        <stp>USDCLP10R2M BGN Curncy</stp>
        <stp>Bid</stp>
        <tr r="M8" s="1"/>
      </tp>
      <tp>
        <v>3.7275</v>
        <stp/>
        <stp>BDP|12431751282580975582|22</stp>
        <stp>USDCLP10R4M BGN Curncy</stp>
        <stp>Mid</stp>
        <tr r="J10" s="3"/>
      </tp>
      <tp>
        <v>13.3725</v>
        <stp/>
        <stp>BDP|2220968513157471273|22</stp>
        <stp>USDCLPV10Y BGN Curncy</stp>
        <stp>Mid</stp>
        <tr r="G20" s="3"/>
      </tp>
      <tp>
        <v>1.94</v>
        <stp/>
        <stp>BDP|4546852381625960253|22</stp>
        <stp>USDCLP25R6M GFFX Curncy</stp>
        <stp>Mid</stp>
        <tr r="H11" s="4"/>
      </tp>
      <tp>
        <v>1.78</v>
        <stp/>
        <stp>BDP|6500392166355733805|22</stp>
        <stp>USDCLP25R2M GFFX Curncy</stp>
        <stp>Mid</stp>
        <tr r="H8" s="4"/>
      </tp>
      <tp>
        <v>0.1</v>
        <stp/>
        <stp>BDP|15262962368160746158|22</stp>
        <stp>USDCLP25B7Y BGN Curncy</stp>
        <stp>Bid</stp>
        <tr r="K19" s="1"/>
      </tp>
      <tp>
        <v>-0.7</v>
        <stp/>
        <stp>BDP|5553266018726394744|22</stp>
        <stp>CHN4M BGN Curncy</stp>
        <stp>Bid</stp>
        <tr r="C11" s="2"/>
      </tp>
      <tp>
        <v>1.7975000000000001</v>
        <stp/>
        <stp>BDP|13170007385504060130|22</stp>
        <stp>USDCLP10B4Y BGN Curncy</stp>
        <stp>Mid</stp>
        <tr r="K17" s="3"/>
      </tp>
      <tp>
        <v>2.2850000000000001</v>
        <stp/>
        <stp>BDP|16429762807767294744|22</stp>
        <stp>USDCLP25R6M BGN Curncy</stp>
        <stp>Ask</stp>
        <tr r="J11" s="1"/>
      </tp>
      <tp>
        <v>0.34</v>
        <stp/>
        <stp>BDP|12428536250674330728|22</stp>
        <stp>USDCLP25B2Y BGN Curncy</stp>
        <stp>Bid</stp>
        <tr r="K15" s="1"/>
      </tp>
      <tp>
        <v>0.16500000000000001</v>
        <stp/>
        <stp>BDP|18202616457216295392|22</stp>
        <stp>USDCLP10B3W BGN Curncy</stp>
        <stp>Bid</stp>
        <tr r="O6" s="1"/>
      </tp>
      <tp>
        <v>1.94</v>
        <stp/>
        <stp>BDP|12643741180676730070|22</stp>
        <stp>USDCLP10B5Y BGN Curncy</stp>
        <stp>Mid</stp>
        <tr r="K18" s="3"/>
      </tp>
      <tp t="s">
        <v>#N/A Requesting Data...3390823717</v>
        <stp/>
        <stp>BDP|12908863788087297190</stp>
        <tr r="B43" s="2"/>
      </tp>
      <tp t="s">
        <v>#N/A Requesting Data...3721498764</v>
        <stp/>
        <stp>BDP|13669716283699239187</stp>
        <tr r="B47" s="2"/>
      </tp>
      <tp>
        <v>2.7450000000000001</v>
        <stp/>
        <stp>BDP|16788957634592926361|22</stp>
        <stp>USDCLP25R1W BGN Curncy</stp>
        <stp>Ask</stp>
        <tr r="J4" s="1"/>
      </tp>
      <tp>
        <v>2.0350000000000001</v>
        <stp/>
        <stp>BDP|17989937890836408717|22</stp>
        <stp>USDCLP10B7Y BGN Curncy</stp>
        <stp>Mid</stp>
        <tr r="K19" s="3"/>
      </tp>
      <tp t="s">
        <v>#N/A Requesting Data...3802603048</v>
        <stp/>
        <stp>BDP|17766310891380163936</stp>
        <tr r="B52" s="2"/>
      </tp>
      <tp>
        <v>1.55</v>
        <stp/>
        <stp>BDP|14175500661431599646|22</stp>
        <stp>USDCLP10B3M BGN Curncy</stp>
        <stp>Ask</stp>
        <tr r="P9" s="1"/>
      </tp>
      <tp>
        <v>3.88</v>
        <stp/>
        <stp>BDP|13415184471285163001|22</stp>
        <stp>USDCLP10R9M BGN Curncy</stp>
        <stp>Mid</stp>
        <tr r="J12" s="3"/>
      </tp>
      <tp>
        <v>3.63</v>
        <stp/>
        <stp>BDP|8935196015110911140|22</stp>
        <stp>USDCLP10R3M GFFX Curncy</stp>
        <stp>Mid</stp>
        <tr r="J9" s="4"/>
      </tp>
      <tp>
        <v>0.27</v>
        <stp/>
        <stp>BDP|11427393615473882756|22</stp>
        <stp>USDCLP25B1Y BGN Curncy</stp>
        <stp>Bid</stp>
        <tr r="K13" s="1"/>
      </tp>
      <tp>
        <v>1.66</v>
        <stp/>
        <stp>BDP|13594210039369212450|22</stp>
        <stp>USDCLP25R1Y BGN Curncy</stp>
        <stp>Bid</stp>
        <tr r="I13" s="1"/>
      </tp>
      <tp>
        <v>31.71</v>
        <stp/>
        <stp>BDP|6126503700427598200|22</stp>
        <stp>CHN5Y BGN Curncy</stp>
        <stp>Ask</stp>
        <tr r="D24" s="2"/>
      </tp>
      <tp>
        <v>3.3075000000000001</v>
        <stp/>
        <stp>BDP|16687036356342946398|22</stp>
        <stp>USDCLP10R3W BGN Curncy</stp>
        <stp>Mid</stp>
        <tr r="J6" s="3"/>
      </tp>
      <tp>
        <v>-1.2649999999999999</v>
        <stp/>
        <stp>BDP|12311204880089968628|22</stp>
        <stp>USDCLP25RON BGN Curncy</stp>
        <stp>Bid</stp>
        <tr r="I3" s="1"/>
      </tp>
      <tp>
        <v>-0.8</v>
        <stp/>
        <stp>BDP|4720282115309773876|22</stp>
        <stp>CHN5M BGN Curncy</stp>
        <stp>Ask</stp>
        <tr r="D12" s="2"/>
      </tp>
      <tp>
        <v>0.96499999999999997</v>
        <stp/>
        <stp>BDP|12948849604788322710|22</stp>
        <stp>USDCLP25B2W BGN Curncy</stp>
        <stp>Ask</stp>
        <tr r="L5" s="1"/>
      </tp>
    </main>
    <main first="bofaddin.rtdserver">
      <tp>
        <v>0.28999999999999998</v>
        <stp/>
        <stp>BDP|10063726066952308329|22</stp>
        <stp>USDCLP25B2M GFFX Curncy</stp>
        <stp>Mid</stp>
        <tr r="I8" s="4"/>
      </tp>
      <tp>
        <v>3.15</v>
        <stp/>
        <stp>BDP|779439847576505799|22</stp>
        <stp>EUR1W BGN Curncy</stp>
        <stp>Bid</stp>
        <tr r="C8" s="5"/>
      </tp>
      <tp>
        <v>4.5125999999999999</v>
        <stp/>
        <stp>BDP|12356517266335689660|22</stp>
        <stp>CHSWPK Curncy</stp>
        <stp>bid</stp>
        <tr r="E41" s="2"/>
      </tp>
      <tp>
        <v>0.48499999999999999</v>
        <stp/>
        <stp>BDP|2201740388004311041|22</stp>
        <stp>USDCLP10B1M BGN Curncy</stp>
        <stp>Bid</stp>
        <tr r="O7" s="1"/>
      </tp>
      <tp>
        <v>1.0275000000000001</v>
        <stp/>
        <stp>BDP|2009461429731692100|22</stp>
        <stp>USDCLP10B2W BGN Curncy</stp>
        <stp>Mid</stp>
        <tr r="K5" s="3"/>
      </tp>
      <tp>
        <v>1.04</v>
        <stp/>
        <stp>BDP|4547671665134903431|22</stp>
        <stp>USDCLP25R7Y BGN Curncy</stp>
        <stp>Bid</stp>
        <tr r="I19" s="1"/>
      </tp>
      <tp>
        <v>5.1943999999999999</v>
        <stp/>
        <stp>BDP|14706023662620557457|22</stp>
        <stp>CHSWP8 Curncy</stp>
        <stp>ask</stp>
        <tr r="F49" s="2"/>
      </tp>
      <tp>
        <v>1.3049999999999999</v>
        <stp/>
        <stp>BDP|7769864397795780408|22</stp>
        <stp>USDCLP25R2M BGN Curncy</stp>
        <stp>Bid</stp>
        <tr r="I8" s="1"/>
      </tp>
      <tp>
        <v>1.5249999999999999</v>
        <stp/>
        <stp>BDP|9020232721556331143|22</stp>
        <stp>USDCLP25R3M BGN Curncy</stp>
        <stp>Bid</stp>
        <tr r="I9" s="1"/>
      </tp>
      <tp>
        <v>2.29</v>
        <stp/>
        <stp>BDP|6290287066754588021|22</stp>
        <stp>USDCLP10R3Y BGN Curncy</stp>
        <stp>Bid</stp>
        <tr r="M16" s="1"/>
      </tp>
      <tp>
        <v>0.63500000000000001</v>
        <stp/>
        <stp>BDP|2684670483513093582|22</stp>
        <stp>USDCLP25B3M BGN Curncy</stp>
        <stp>Ask</stp>
        <tr r="L9" s="1"/>
      </tp>
      <tp>
        <v>2.5299999999999998</v>
        <stp/>
        <stp>BDP|9256011847055771833|22</stp>
        <stp>USDCLP10R1M BGN Curncy</stp>
        <stp>Bid</stp>
        <tr r="M7" s="1"/>
      </tp>
      <tp>
        <v>117.98</v>
        <stp/>
        <stp>BDP|13765988794232511353|22</stp>
        <stp>EURMB4 BGN Curncy</stp>
        <stp>Mid</stp>
        <tr r="E10" s="5"/>
      </tp>
      <tp>
        <v>159.05000000000001</v>
        <stp/>
        <stp>BDP|10865568769050875988|22</stp>
        <stp>EURJUN BGN Curncy</stp>
        <stp>Ask</stp>
        <tr r="D14" s="5"/>
      </tp>
      <tp>
        <v>0.65</v>
        <stp/>
        <stp>BDP|10673754841650331873|22</stp>
        <stp>USDCLP25B4Y GFFX Curncy</stp>
        <stp>Mid</stp>
        <tr r="I17" s="4"/>
      </tp>
      <tp>
        <v>34.51</v>
        <stp/>
        <stp>BDP|14042644323784853498|22</stp>
        <stp>EURMB10 BGN Curncy</stp>
        <stp>Bid</stp>
        <tr r="C20" s="5"/>
      </tp>
      <tp>
        <v>-1.4999999999999999E-2</v>
        <stp/>
        <stp>BDP|8970027051772757326|22</stp>
        <stp>USDCLP25B2M BGN Curncy</stp>
        <stp>Bid</stp>
        <tr r="K8" s="1"/>
      </tp>
      <tp>
        <v>2.34</v>
        <stp/>
        <stp>BDP|5853939904650196544|22</stp>
        <stp>USDCLP25R2Y BGN Curncy</stp>
        <stp>Ask</stp>
        <tr r="J15" s="1"/>
      </tp>
      <tp>
        <v>2.23</v>
        <stp/>
        <stp>BDP|3126529625017352569|22</stp>
        <stp>USDCLP25R3M BGN Curncy</stp>
        <stp>Ask</stp>
        <tr r="J9" s="1"/>
      </tp>
      <tp>
        <v>4.04</v>
        <stp/>
        <stp>BDP|7855879029875942447|22</stp>
        <stp>USDCLP25RON BGN Curncy</stp>
        <stp>Ask</stp>
        <tr r="J3" s="1"/>
      </tp>
      <tp>
        <v>6.12</v>
        <stp/>
        <stp>BDP|8142925444448942863|22</stp>
        <stp>USDCLP10R7Y BGN Curncy</stp>
        <stp>Ask</stp>
        <tr r="N19" s="1"/>
      </tp>
      <tp>
        <v>4.5359999999999996</v>
        <stp/>
        <stp>BDP|10148311192775771136|22</stp>
        <stp>CHSWPH Curncy</stp>
        <stp>ask</stp>
        <tr r="F38" s="2"/>
      </tp>
      <tp>
        <v>1.68</v>
        <stp/>
        <stp>BDP|4538200078356817573|22</stp>
        <stp>USDCLP10B1M BGN Curncy</stp>
        <stp>Ask</stp>
        <tr r="P7" s="1"/>
      </tp>
      <tp>
        <v>1.6</v>
        <stp/>
        <stp>BDP|3679067873650487685|22</stp>
        <stp>USDCLP25R1W BGN Curncy</stp>
        <stp>Mid</stp>
        <tr r="H4" s="3"/>
      </tp>
      <tp>
        <v>1.5649999999999999</v>
        <stp/>
        <stp>BDP|1076291630336140665|22</stp>
        <stp>USDCLP25R4M BGN Curncy</stp>
        <stp>Bid</stp>
        <tr r="I10" s="1"/>
      </tp>
      <tp>
        <v>2.0699999999999998</v>
        <stp/>
        <stp>BDP|9904430609348914339|22</stp>
        <stp>USDCLP25R7Y BGN Curncy</stp>
        <stp>Mid</stp>
        <tr r="H19" s="3"/>
      </tp>
      <tp>
        <v>1.83</v>
        <stp/>
        <stp>BDP|1235889470815092280|22</stp>
        <stp>USDCLP25R2M BGN Curncy</stp>
        <stp>Mid</stp>
        <tr r="H8" s="3"/>
      </tp>
      <tp>
        <v>4.5183</v>
        <stp/>
        <stp>BDP|12046861637800478532|22</stp>
        <stp>CHSWPA Curncy</stp>
        <stp>ask</stp>
        <tr r="F31" s="2"/>
      </tp>
      <tp>
        <v>1.59</v>
        <stp/>
        <stp>BDP|5456253614579368701|22</stp>
        <stp>USDCLP25R6M BGN Curncy</stp>
        <stp>Bid</stp>
        <tr r="I11" s="1"/>
      </tp>
      <tp>
        <v>0.68500000000000005</v>
        <stp/>
        <stp>BDP|8627901814920689165|22</stp>
        <stp>USDCLP25B9M BGN Curncy</stp>
        <stp>Ask</stp>
        <tr r="L12" s="1"/>
      </tp>
      <tp>
        <v>4.5129999999999999</v>
        <stp/>
        <stp>BDP|13453526125222988832|22</stp>
        <stp>CHSWPE Curncy</stp>
        <stp>mid</stp>
        <tr r="G35" s="2"/>
      </tp>
      <tp>
        <v>1.145</v>
        <stp/>
        <stp>BDP|2488887598514209518|22</stp>
        <stp>USDCLP10B2Y BGN Curncy</stp>
        <stp>Bid</stp>
        <tr r="O15" s="1"/>
      </tp>
      <tp>
        <v>4.6002999999999998</v>
        <stp/>
        <stp>BDP|15565006202354796460|22</stp>
        <stp>CHSWP2 Curncy</stp>
        <stp>bid</stp>
        <tr r="E43" s="2"/>
      </tp>
      <tp>
        <v>0.5</v>
        <stp/>
        <stp>BDP|3408371804277110560|22</stp>
        <stp>USDCLP10B2M BGN Curncy</stp>
        <stp>Bid</stp>
        <tr r="O8" s="1"/>
      </tp>
      <tp>
        <v>2.3050000000000002</v>
        <stp/>
        <stp>BDP|7545112314285585598|22</stp>
        <stp>USDCLP25R1M BGN Curncy</stp>
        <stp>Ask</stp>
        <tr r="J7" s="1"/>
      </tp>
      <tp>
        <v>0.245</v>
        <stp/>
        <stp>BDP|3062356451781285538|22</stp>
        <stp>USDCLP25B9M BGN Curncy</stp>
        <stp>Bid</stp>
        <tr r="K12" s="1"/>
      </tp>
      <tp>
        <v>4.5255999999999998</v>
        <stp/>
        <stp>BDP|13762332935537448404|22</stp>
        <stp>CHSWPC Curncy</stp>
        <stp>ask</stp>
        <tr r="F33" s="2"/>
      </tp>
      <tp>
        <v>0.71499999999999997</v>
        <stp/>
        <stp>BDP|2100295805662832024|22</stp>
        <stp>USDCLP25B1M BGN Curncy</stp>
        <stp>Ask</stp>
        <tr r="L7" s="1"/>
      </tp>
      <tp>
        <v>3.21</v>
        <stp/>
        <stp>BDP|1381879171701072833|22</stp>
        <stp>USDCLP10R6M BGN Curncy</stp>
        <stp>Bid</stp>
        <tr r="M11" s="1"/>
      </tp>
      <tp>
        <v>4.5312999999999999</v>
        <stp/>
        <stp>BDP|15138927617869038712|22</stp>
        <stp>CHSWPF Curncy</stp>
        <stp>ask</stp>
        <tr r="F36" s="2"/>
      </tp>
      <tp>
        <v>0.98</v>
        <stp/>
        <stp>BDP|2054158851927704733|22</stp>
        <stp>USDCLP25R5Y BGN Curncy</stp>
        <stp>Bid</stp>
        <tr r="I18" s="1"/>
      </tp>
      <tp>
        <v>1.425</v>
        <stp/>
        <stp>BDP|8920762664121824307|22</stp>
        <stp>USDCLP25B4Y BGN Curncy</stp>
        <stp>Ask</stp>
        <tr r="L17" s="1"/>
      </tp>
      <tp>
        <v>-0.05</v>
        <stp/>
        <stp>BDP|5624443135955476099|22</stp>
        <stp>USDCLP25B3Y BGN Curncy</stp>
        <stp>Bid</stp>
        <tr r="K16" s="1"/>
      </tp>
      <tp>
        <v>0.32750000000000001</v>
        <stp/>
        <stp>BDP|9494372655828690353|22</stp>
        <stp>USDCLP25B3W BGN Curncy</stp>
        <stp>Mid</stp>
        <tr r="I6" s="3"/>
      </tp>
      <tp>
        <v>5.8849999999999998</v>
        <stp/>
        <stp>BDP|5436137113213502586|22</stp>
        <stp>USDCLP10R5Y BGN Curncy</stp>
        <stp>Ask</stp>
        <tr r="N18" s="1"/>
      </tp>
      <tp>
        <v>4.7350000000000003</v>
        <stp/>
        <stp>BDP|8692331773948592928|22</stp>
        <stp>USDCLP10R2W BGN Curncy</stp>
        <stp>Ask</stp>
        <tr r="N5" s="1"/>
      </tp>
      <tp>
        <v>4.5065</v>
        <stp/>
        <stp>BDP|16075762973224739451|22</stp>
        <stp>CHSWPI Curncy</stp>
        <stp>bid</stp>
        <tr r="E39" s="2"/>
      </tp>
      <tp>
        <v>2.2549999999999999</v>
        <stp/>
        <stp>BDP|5836428967564488953|22</stp>
        <stp>USDCLP25R4M BGN Curncy</stp>
        <stp>Ask</stp>
        <tr r="J10" s="1"/>
      </tp>
      <tp>
        <v>4.47</v>
        <stp/>
        <stp>BDP|3456635680364307373|22</stp>
        <stp>USDCLP10R1Y BGN Curncy</stp>
        <stp>Ask</stp>
        <tr r="N13" s="1"/>
      </tp>
      <tp>
        <v>0.94499999999999995</v>
        <stp/>
        <stp>BDP|5589414279755059218|22</stp>
        <stp>USDCLP25R3W BGN Curncy</stp>
        <stp>Bid</stp>
        <tr r="I6" s="1"/>
      </tp>
      <tp>
        <v>1.91</v>
        <stp/>
        <stp>BDP|4343868202324673861|22</stp>
        <stp>USDCLP25R4M BGN Curncy</stp>
        <stp>Mid</stp>
        <tr r="H10" s="3"/>
      </tp>
      <tp>
        <v>1.97</v>
        <stp/>
        <stp>BDP|8613607782506630690|22</stp>
        <stp>USDCLP10B2Y BGN Curncy</stp>
        <stp>Ask</stp>
        <tr r="P15" s="1"/>
      </tp>
      <tp>
        <v>5.5872000000000002</v>
        <stp/>
        <stp>BDP|17518721058829335025|22</stp>
        <stp>CHSWP20 Curncy</stp>
        <stp>bid</stp>
        <tr r="E52" s="2"/>
      </tp>
      <tp>
        <v>629.16999999999996</v>
        <stp/>
        <stp>BDP|320352123483746706|22</stp>
        <stp>EUR4Y BGN Curncy</stp>
        <stp>Bid</stp>
        <tr r="C27" s="5"/>
      </tp>
      <tp>
        <v>1.0825</v>
        <stp/>
        <stp>BDP|1690195165971163578|22</stp>
        <stp>USDCLP10B1M BGN Curncy</stp>
        <stp>Mid</stp>
        <tr r="K7" s="3"/>
      </tp>
      <tp>
        <v>4.4000000000000004</v>
        <stp/>
        <stp>BDP|5944695352608829292|22</stp>
        <stp>USDCLP10R6M BGN Curncy</stp>
        <stp>Ask</stp>
        <tr r="N11" s="1"/>
      </tp>
      <tp>
        <v>0.86</v>
        <stp/>
        <stp>BDP|5194718023148606064|22</stp>
        <stp>USDCLP10B6M BGN Curncy</stp>
        <stp>Bid</stp>
        <tr r="O11" s="1"/>
      </tp>
      <tp>
        <v>0.34250000000000003</v>
        <stp/>
        <stp>BDP|6159758936366849744|22</stp>
        <stp>USDCLP25B1M BGN Curncy</stp>
        <stp>Mid</stp>
        <tr r="I7" s="3"/>
      </tp>
      <tp>
        <v>5.1050000000000004</v>
        <stp/>
        <stp>BDP|15414691291649470374|22</stp>
        <stp>CHSWP7 Curncy</stp>
        <stp>mid</stp>
        <tr r="G48" s="2"/>
      </tp>
      <tp>
        <v>0.95250000000000001</v>
        <stp/>
        <stp>BDP|4289324252225953860|22</stp>
        <stp>USDCLP10BON BGN Curncy</stp>
        <stp>Mid</stp>
        <tr r="K3" s="3"/>
      </tp>
      <tp>
        <v>5.1245000000000003</v>
        <stp/>
        <stp>BDP|10469521877640070324|22</stp>
        <stp>CHSWP7 Curncy</stp>
        <stp>ask</stp>
        <tr r="F48" s="2"/>
      </tp>
      <tp>
        <v>4.5313999999999997</v>
        <stp/>
        <stp>BDP|12789305139386544082|22</stp>
        <stp>CHSWPB Curncy</stp>
        <stp>ask</stp>
        <tr r="F32" s="2"/>
      </tp>
      <tp>
        <v>4.3550000000000004</v>
        <stp/>
        <stp>BDP|3229739362046927482|22</stp>
        <stp>USDCLP10R7Y BGN Curncy</stp>
        <stp>Mid</stp>
        <tr r="J19" s="3"/>
      </tp>
      <tp>
        <v>5.3052999999999999</v>
        <stp/>
        <stp>BDP|14705356141563532209|22</stp>
        <stp>CHSWP10 Curncy</stp>
        <stp>bid</stp>
        <tr r="E51" s="2"/>
      </tp>
      <tp>
        <v>0.27</v>
        <stp/>
        <stp>BDP|10969931745970192164|22</stp>
        <stp>USDCLP25B1M GFFX Curncy</stp>
        <stp>Mid</stp>
        <tr r="I7" s="4"/>
      </tp>
      <tp>
        <v>4.5049999999999999</v>
        <stp/>
        <stp>BDP|12705334128834723854|22</stp>
        <stp>CHSWPA Curncy</stp>
        <stp>mid</stp>
        <tr r="G31" s="2"/>
      </tp>
      <tp>
        <v>5.24</v>
        <stp/>
        <stp>BDP|15736108144701522986|22</stp>
        <stp>CHSWP9 Curncy</stp>
        <stp>mid</stp>
        <tr r="G50" s="2"/>
      </tp>
      <tp>
        <v>5.1656000000000004</v>
        <stp/>
        <stp>BDP|15288454777774200234|22</stp>
        <stp>CHSWP8 Curncy</stp>
        <stp>bid</stp>
        <tr r="E49" s="2"/>
      </tp>
      <tp>
        <v>1.2</v>
        <stp/>
        <stp>BDP|7629948468488664032|22</stp>
        <stp>USDCLP10B4M BGN Curncy</stp>
        <stp>Mid</stp>
        <tr r="K10" s="3"/>
      </tp>
      <tp>
        <v>-0.51500000000000001</v>
        <stp/>
        <stp>BDP|7236261639218401060|22</stp>
        <stp>USDCLP25B1W BGN Curncy</stp>
        <stp>Bid</stp>
        <tr r="K4" s="1"/>
      </tp>
      <tp>
        <v>1.26</v>
        <stp/>
        <stp>BDP|5611348360877855974|22</stp>
        <stp>USDCLP25R1M BGN Curncy</stp>
        <stp>Bid</stp>
        <tr r="I7" s="1"/>
      </tp>
      <tp>
        <v>4.5434999999999999</v>
        <stp/>
        <stp>BDP|10584117562114377370|22</stp>
        <stp>CHSWPI Curncy</stp>
        <stp>ask</stp>
        <tr r="F39" s="2"/>
      </tp>
      <tp>
        <v>0.34</v>
        <stp/>
        <stp>BDP|16326852380855348217|22</stp>
        <stp>USDCLP25B6M GFFX Curncy</stp>
        <stp>Mid</stp>
        <tr r="I11" s="4"/>
      </tp>
      <tp>
        <v>0.25</v>
        <stp/>
        <stp>BDP|12047518031975088716|22</stp>
        <stp>USDCLP25B1W GFFX Curncy</stp>
        <stp>Mid</stp>
        <tr r="I4" s="4"/>
      </tp>
      <tp>
        <v>0.96</v>
        <stp/>
        <stp>BDP|6716908753184766768|22</stp>
        <stp>USDCLP10B9M BGN Curncy</stp>
        <stp>Bid</stp>
        <tr r="O12" s="1"/>
      </tp>
      <tp>
        <v>-0.28499999999999998</v>
        <stp/>
        <stp>BDP|2818355996990881453|22</stp>
        <stp>USDCLP10B1W BGN Curncy</stp>
        <stp>Bid</stp>
        <tr r="O4" s="1"/>
      </tp>
      <tp>
        <v>3.9449999999999998</v>
        <stp/>
        <stp>BDP|9223640560327382330|22</stp>
        <stp>USDCLP10R1Y BGN Curncy</stp>
        <stp>Mid</stp>
        <tr r="J13" s="3"/>
      </tp>
      <tp>
        <v>4</v>
        <stp/>
        <stp>BDP|9113878653600135325|22</stp>
        <stp>USDCLP10R3Y BGN Curncy</stp>
        <stp>Mid</stp>
        <tr r="J16" s="3"/>
      </tp>
      <tp>
        <v>1.375</v>
        <stp/>
        <stp>BDP|2368839655931237845|22</stp>
        <stp>USDCLP25B3Y BGN Curncy</stp>
        <stp>Ask</stp>
        <tr r="L16" s="1"/>
      </tp>
      <tp>
        <v>2.2799999999999998</v>
        <stp/>
        <stp>BDP|3161975771372612057|22</stp>
        <stp>USDCLP10R4Y BGN Curncy</stp>
        <stp>Bid</stp>
        <tr r="M17" s="1"/>
      </tp>
      <tp>
        <v>0.51</v>
        <stp/>
        <stp>BDP|10207978996251622633|22</stp>
        <stp>USDCLP25B2Y GFFX Curncy</stp>
        <stp>Mid</stp>
        <tr r="I15" s="4"/>
      </tp>
      <tp>
        <v>2</v>
        <stp/>
        <stp>BDP|15809062066236703251|22</stp>
        <stp>USDCLP10B4Y GFFX Curncy</stp>
        <stp>Mid</stp>
        <tr r="K17" s="4"/>
      </tp>
      <tp>
        <v>2.355</v>
        <stp/>
        <stp>BDP|2306043109809628228|22</stp>
        <stp>USDCLP25R2M BGN Curncy</stp>
        <stp>Ask</stp>
        <tr r="J8" s="1"/>
      </tp>
      <tp>
        <v>2.9449999999999998</v>
        <stp/>
        <stp>BDP|7347710869449317370|22</stp>
        <stp>USDCLP25R4Y BGN Curncy</stp>
        <stp>Ask</stp>
        <tr r="J17" s="1"/>
      </tp>
      <tp>
        <v>4.5599999999999996</v>
        <stp/>
        <stp>BDP|15998275079199381484|22</stp>
        <stp>CHSWP1 Curncy</stp>
        <stp>mid</stp>
        <tr r="G42" s="2"/>
      </tp>
      <tp>
        <v>1.1000000000000001</v>
        <stp/>
        <stp>BDP|4825283755243039608|22</stp>
        <stp>USDCLP10B2M BGN Curncy</stp>
        <stp>Mid</stp>
        <tr r="K8" s="3"/>
      </tp>
      <tp>
        <v>0.65</v>
        <stp/>
        <stp>BDP|7272926833634021212|22</stp>
        <stp>USDCLP10B4Y BGN Curncy</stp>
        <stp>Bid</stp>
        <tr r="O17" s="1"/>
      </tp>
      <tp>
        <v>2.64</v>
        <stp/>
        <stp>BDP|6461992945900058380|22</stp>
        <stp>USDCLP10RON BGN Curncy</stp>
        <stp>Mid</stp>
        <tr r="J3" s="3"/>
      </tp>
      <tp>
        <v>3.42</v>
        <stp/>
        <stp>BDP|1084475713117420889|22</stp>
        <stp>USDCLP10R1Y BGN Curncy</stp>
        <stp>Bid</stp>
        <tr r="M13" s="1"/>
      </tp>
      <tp>
        <v>0.88500000000000001</v>
        <stp/>
        <stp>BDP|4969645876076613243|22</stp>
        <stp>USDCLP25B3W BGN Curncy</stp>
        <stp>Ask</stp>
        <tr r="L6" s="1"/>
      </tp>
      <tp>
        <v>0.45500000000000002</v>
        <stp/>
        <stp>BDP|4479178002202980447|22</stp>
        <stp>USDCLP25R1W BGN Curncy</stp>
        <stp>Bid</stp>
        <tr r="I4" s="1"/>
      </tp>
      <tp>
        <v>1.02</v>
        <stp/>
        <stp>BDP|13916175344117092515|22</stp>
        <stp>USDCLP10B1W GFFX Curncy</stp>
        <stp>Mid</stp>
        <tr r="K4" s="4"/>
      </tp>
      <tp>
        <v>4.5149999999999997</v>
        <stp/>
        <stp>BDP|13628233872846745135|22</stp>
        <stp>CHSWPF Curncy</stp>
        <stp>mid</stp>
        <tr r="G36" s="2"/>
      </tp>
      <tp>
        <v>0.85499999999999998</v>
        <stp/>
        <stp>BDP|7595061672377408865|22</stp>
        <stp>USDCLP25B2Y BGN Curncy</stp>
        <stp>Ask</stp>
        <tr r="L15" s="1"/>
      </tp>
      <tp>
        <v>4.5229999999999997</v>
        <stp/>
        <stp>BDP|18341986693840049277|22</stp>
        <stp>CHSWPE Curncy</stp>
        <stp>ask</stp>
        <tr r="F35" s="2"/>
      </tp>
      <tp>
        <v>3.6475</v>
        <stp/>
        <stp>BDP|8032057034390747324|22</stp>
        <stp>USDCLP10R3M BGN Curncy</stp>
        <stp>Mid</stp>
        <tr r="J9" s="3"/>
      </tp>
      <tp>
        <v>1.94</v>
        <stp/>
        <stp>BDP|8288162246609474669|22</stp>
        <stp>USDCLP25R4Y BGN Curncy</stp>
        <stp>Mid</stp>
        <tr r="H17" s="3"/>
      </tp>
      <tp>
        <v>0.7</v>
        <stp/>
        <stp>BDP|145030135837497308|22</stp>
        <stp>USDCLP25B10Y GFFX Curncy</stp>
        <stp>Mid</stp>
        <tr r="I20" s="4"/>
      </tp>
      <tp>
        <v>4.4987000000000004</v>
        <stp/>
        <stp>BDP|15671473368934145151|22</stp>
        <stp>CHSWPF Curncy</stp>
        <stp>bid</stp>
        <tr r="E36" s="2"/>
      </tp>
      <tp>
        <v>1.31</v>
        <stp/>
        <stp>BDP|3413277772797013716|22</stp>
        <stp>USDCLP10B9M BGN Curncy</stp>
        <stp>Mid</stp>
        <tr r="K12" s="3"/>
      </tp>
      <tp>
        <v>1.0225</v>
        <stp/>
        <stp>BDP|6080581854158174859|22</stp>
        <stp>USDCLP10B1W BGN Curncy</stp>
        <stp>Mid</stp>
        <tr r="K4" s="3"/>
      </tp>
      <tp>
        <v>1.7</v>
        <stp/>
        <stp>BDP|3576269044637427800|22</stp>
        <stp>USDCLP10B2M BGN Curncy</stp>
        <stp>Ask</stp>
        <tr r="P8" s="1"/>
      </tp>
      <tp>
        <v>1.97</v>
        <stp/>
        <stp>BDP|762139241406963926|22</stp>
        <stp>USDCLP25R4Y GFFX Curncy</stp>
        <stp>Mid</stp>
        <tr r="H17" s="4"/>
      </tp>
      <tp>
        <v>5.3446999999999996</v>
        <stp/>
        <stp>BDP|12305301654510127261|22</stp>
        <stp>CHSWP10 Curncy</stp>
        <stp>ask</stp>
        <tr r="F51" s="2"/>
      </tp>
      <tp>
        <v>74.98</v>
        <stp/>
        <stp>BDP|11127997537754798278|22</stp>
        <stp>EURDEC BGN Curncy</stp>
        <stp>Bid</stp>
        <tr r="C22" s="5"/>
      </tp>
      <tp>
        <v>75.48</v>
        <stp/>
        <stp>BDP|12416228019815976267|22</stp>
        <stp>EURDEC BGN Curncy</stp>
        <stp>Mid</stp>
        <tr r="E22" s="5"/>
      </tp>
      <tp>
        <v>1056.1500000000001</v>
        <stp/>
        <stp>BDP|14319645747653208428|22</stp>
        <stp>EURCLP BGN Curncy</stp>
        <stp>Mid</stp>
        <tr r="S3" s="2"/>
        <tr r="P3" s="2"/>
      </tp>
      <tp>
        <v>1.62</v>
        <stp/>
        <stp>BDP|17507050330521912857|22</stp>
        <stp>USDCLP10B2Y GFFX Curncy</stp>
        <stp>Mid</stp>
        <tr r="K15" s="4"/>
      </tp>
      <tp>
        <v>0.38500000000000001</v>
        <stp/>
        <stp>BDP|4745310273790273024|22</stp>
        <stp>USDCLP25B3M BGN Curncy</stp>
        <stp>Mid</stp>
        <tr r="I9" s="3"/>
      </tp>
      <tp>
        <v>4.4349999999999996</v>
        <stp/>
        <stp>BDP|3106826375316940228|22</stp>
        <stp>USDCLP10R2M BGN Curncy</stp>
        <stp>Ask</stp>
        <tr r="N8" s="1"/>
      </tp>
      <tp>
        <v>5.7249999999999996</v>
        <stp/>
        <stp>BDP|4025785567415231469|22</stp>
        <stp>USDCLP10R4Y BGN Curncy</stp>
        <stp>Ask</stp>
        <tr r="N17" s="1"/>
      </tp>
      <tp>
        <v>4.1449999999999996</v>
        <stp/>
        <stp>BDP|5123794641354245574|22</stp>
        <stp>USDCLP10R5Y BGN Curncy</stp>
        <stp>Mid</stp>
        <tr r="J18" s="3"/>
      </tp>
      <tp>
        <v>1.9675</v>
        <stp/>
        <stp>BDP|7876516469328077945|22</stp>
        <stp>USDCLP25R1Y BGN Curncy</stp>
        <stp>Mid</stp>
        <tr r="H13" s="3"/>
      </tp>
      <tp>
        <v>1.655</v>
        <stp/>
        <stp>BDP|7980623208777022437|22</stp>
        <stp>USDCLP10B6M BGN Curncy</stp>
        <stp>Ask</stp>
        <tr r="P11" s="1"/>
      </tp>
      <tp>
        <v>2.0699999999999998</v>
        <stp/>
        <stp>BDP|8877344141265106878|22</stp>
        <stp>USDCLP10B2W BGN Curncy</stp>
        <stp>Ask</stp>
        <tr r="P5" s="1"/>
      </tp>
      <tp>
        <v>3.1</v>
        <stp/>
        <stp>BDP|4575499008517810033|22</stp>
        <stp>USDCLP10B5Y BGN Curncy</stp>
        <stp>Ask</stp>
        <tr r="P18" s="1"/>
      </tp>
      <tp>
        <v>1.1000000000000001</v>
        <stp/>
        <stp>BDP|9388496757923994444|22</stp>
        <stp>USDCLP10R1W BGN Curncy</stp>
        <stp>Bid</stp>
        <tr r="M4" s="1"/>
      </tp>
      <tp>
        <v>1.03</v>
        <stp/>
        <stp>BDP|11551806392020895729|22</stp>
        <stp>USDCLP10B2W GFFX Curncy</stp>
        <stp>Mid</stp>
        <tr r="K5" s="4"/>
      </tp>
      <tp>
        <v>28.73</v>
        <stp/>
        <stp>BDP|171624100753606093|22</stp>
        <stp>EUR2M BGN Curncy</stp>
        <stp>Mid</stp>
        <tr r="E12" s="5"/>
      </tp>
      <tp>
        <v>1.7150000000000001</v>
        <stp/>
        <stp>BDP|7670388000139382872|22</stp>
        <stp>USDCLP10B3Y BGN Curncy</stp>
        <stp>Mid</stp>
        <tr r="K16" s="3"/>
      </tp>
      <tp>
        <v>0.80500000000000005</v>
        <stp/>
        <stp>BDP|6634455916681537598|22</stp>
        <stp>USDCLP10B4M BGN Curncy</stp>
        <stp>Bid</stp>
        <tr r="O10" s="1"/>
      </tp>
      <tp>
        <v>75.98</v>
        <stp/>
        <stp>BDP|10804993242552197882|22</stp>
        <stp>EURDEC BGN Curncy</stp>
        <stp>Ask</stp>
        <tr r="D22" s="5"/>
      </tp>
      <tp>
        <v>2.37</v>
        <stp/>
        <stp>BDP|11336199192032786340|22</stp>
        <stp>USDCLP10B7Y GFFX Curncy</stp>
        <stp>Mid</stp>
        <tr r="K19" s="4"/>
      </tp>
      <tp>
        <v>4.7249999999999996</v>
        <stp/>
        <stp>BDP|15729134777171697126|22</stp>
        <stp>CHSWP3 Curncy</stp>
        <stp>mid</stp>
        <tr r="G44" s="2"/>
      </tp>
      <tp>
        <v>-0.34</v>
        <stp/>
        <stp>BDP|1508569046878293761|22</stp>
        <stp>USDCLP25B2W BGN Curncy</stp>
        <stp>Bid</stp>
        <tr r="K5" s="1"/>
      </tp>
      <tp>
        <v>0.70750000000000002</v>
        <stp/>
        <stp>BDP|7459160291020960985|22</stp>
        <stp>USDCLP25B4Y BGN Curncy</stp>
        <stp>Mid</stp>
        <tr r="I17" s="3"/>
      </tp>
      <tp>
        <v>5.71</v>
        <stp/>
        <stp>BDP|3604099554147027155|22</stp>
        <stp>USDCLP10R3Y BGN Curncy</stp>
        <stp>Ask</stp>
        <tr r="N16" s="1"/>
      </tp>
      <tp>
        <v>5.0429000000000004</v>
        <stp/>
        <stp>BDP|14645258960707138999|22</stp>
        <stp>CHSWP6 Curncy</stp>
        <stp>ask</stp>
        <tr r="F47" s="2"/>
      </tp>
      <tp>
        <v>-1.91</v>
        <stp/>
        <stp>BDP|2170825057483888672|22</stp>
        <stp>USDCLP10RON BGN Curncy</stp>
        <stp>Bid</stp>
        <tr r="M3" s="1"/>
      </tp>
      <tp>
        <v>0.71</v>
        <stp/>
        <stp>BDP|4934787056258299255|22</stp>
        <stp>USDCLP25B1Y BGN Curncy</stp>
        <stp>Ask</stp>
        <tr r="L13" s="1"/>
      </tp>
      <tp>
        <v>2.855</v>
        <stp/>
        <stp>BDP|7172801439496947599|22</stp>
        <stp>USDCLP10B3Y BGN Curncy</stp>
        <stp>Ask</stp>
        <tr r="P16" s="1"/>
      </tp>
      <tp>
        <v>3.9849999999999999</v>
        <stp/>
        <stp>BDP|9756134817218589394|22</stp>
        <stp>USDCLP10BON BGN Curncy</stp>
        <stp>Ask</stp>
        <tr r="P3" s="1"/>
      </tp>
      <tp>
        <v>3.17</v>
        <stp/>
        <stp>BDP|1248784051358057145|22</stp>
        <stp>USDCLP10R2W BGN Curncy</stp>
        <stp>Mid</stp>
        <tr r="J5" s="3"/>
      </tp>
      <tp>
        <v>0.82</v>
        <stp/>
        <stp>BDP|925540592906557348|22</stp>
        <stp>USDCLP25RON GFFX Curncy</stp>
        <stp>Mid</stp>
        <tr r="H3" s="4"/>
      </tp>
      <tp>
        <v>0.26</v>
        <stp/>
        <stp>BDP|12603334002711481201|22</stp>
        <stp>USDCLP25B2W GFFX Curncy</stp>
        <stp>Mid</stp>
        <tr r="I5" s="4"/>
      </tp>
      <tp>
        <v>4.8170999999999999</v>
        <stp/>
        <stp>BDP|11441627513698927558|22</stp>
        <stp>CHSWP4 Curncy</stp>
        <stp>bid</stp>
        <tr r="E45" s="2"/>
      </tp>
      <tp>
        <v>4.5250000000000004</v>
        <stp/>
        <stp>BDP|14847796158849897170|22</stp>
        <stp>CHSWPH Curncy</stp>
        <stp>mid</stp>
        <tr r="G38" s="2"/>
      </tp>
      <tp>
        <v>4.4999999999999998E-2</v>
        <stp/>
        <stp>BDP|3698023293043731801|22</stp>
        <stp>USDCLP25B5Y BGN Curncy</stp>
        <stp>Bid</stp>
        <tr r="K18" s="1"/>
      </tp>
      <tp>
        <v>3.1</v>
        <stp/>
        <stp>BDP|7801888033359261576|22</stp>
        <stp>USDCLP25R7Y BGN Curncy</stp>
        <stp>Ask</stp>
        <tr r="J19" s="1"/>
      </tp>
      <tp>
        <v>5.2579000000000002</v>
        <stp/>
        <stp>BDP|16223089363002795645|22</stp>
        <stp>CHSWP9 Curncy</stp>
        <stp>ask</stp>
        <tr r="F50" s="2"/>
      </tp>
      <tp>
        <v>1.655</v>
        <stp/>
        <stp>BDP|5685719963567757899|22</stp>
        <stp>USDCLP25R9M BGN Curncy</stp>
        <stp>Bid</stp>
        <tr r="I12" s="1"/>
      </tp>
      <tp>
        <v>3.5350000000000001</v>
        <stp/>
        <stp>BDP|7932604760090023887|22</stp>
        <stp>USDCLP10R2M BGN Curncy</stp>
        <stp>Mid</stp>
        <tr r="J8" s="3"/>
      </tp>
      <tp>
        <v>0.30249999999999999</v>
        <stp/>
        <stp>BDP|9710661079346766721|22</stp>
        <stp>USDCLP25B1W BGN Curncy</stp>
        <stp>Mid</stp>
        <tr r="I4" s="3"/>
      </tp>
      <tp>
        <v>0.59750000000000003</v>
        <stp/>
        <stp>BDP|9978257073408556785|22</stp>
        <stp>USDCLP25B2Y BGN Curncy</stp>
        <stp>Mid</stp>
        <tr r="I15" s="3"/>
      </tp>
      <tp>
        <v>4.4050000000000002</v>
        <stp/>
        <stp>BDP|5159231811327680812|22</stp>
        <stp>USDCLP10R9M BGN Curncy</stp>
        <stp>Ask</stp>
        <tr r="N12" s="1"/>
      </tp>
      <tp>
        <v>2.96</v>
        <stp/>
        <stp>BDP|8696794248775272085|22</stp>
        <stp>USDCLP25R3Y BGN Curncy</stp>
        <stp>Ask</stp>
        <tr r="J16" s="1"/>
      </tp>
      <tp>
        <v>0.78</v>
        <stp/>
        <stp>BDP|4609542669957141781|22</stp>
        <stp>USDCLP10B5Y BGN Curncy</stp>
        <stp>Bid</stp>
        <tr r="O18" s="1"/>
      </tp>
      <tp>
        <v>1.0575000000000001</v>
        <stp/>
        <stp>BDP|8123213266697742052|22</stp>
        <stp>USDCLP10B3W BGN Curncy</stp>
        <stp>Mid</stp>
        <tr r="K6" s="3"/>
      </tp>
      <tp>
        <v>4.7449000000000003</v>
        <stp/>
        <stp>BDP|17946098139742615968|22</stp>
        <stp>CHSWP3 Curncy</stp>
        <stp>ask</stp>
        <tr r="F44" s="2"/>
      </tp>
      <tp>
        <v>4.5788000000000002</v>
        <stp/>
        <stp>BDP|10207694278677353792|22</stp>
        <stp>CHSWP1 Curncy</stp>
        <stp>ask</stp>
        <tr r="F42" s="2"/>
      </tp>
      <tp>
        <v>1.8774999999999999</v>
        <stp/>
        <stp>BDP|4989648128503314310|22</stp>
        <stp>USDCLP25R3M BGN Curncy</stp>
        <stp>Mid</stp>
        <tr r="H9" s="3"/>
      </tp>
      <tp>
        <v>0.72</v>
        <stp/>
        <stp>BDP|10392879680170092539|22</stp>
        <stp>USDCLP25B5Y GFFX Curncy</stp>
        <stp>Mid</stp>
        <tr r="I18" s="4"/>
      </tp>
      <tp>
        <v>1.06</v>
        <stp/>
        <stp>BDP|12644613572883258841|22</stp>
        <stp>USDCLP10B1M GFFX Curncy</stp>
        <stp>Mid</stp>
        <tr r="K7" s="4"/>
      </tp>
      <tp>
        <v>4.5030000000000001</v>
        <stp/>
        <stp>BDP|13335351246696872239|22</stp>
        <stp>CHSWPE Curncy</stp>
        <stp>bid</stp>
        <tr r="E35" s="2"/>
      </tp>
      <tp>
        <v>0.83499999999999996</v>
        <stp/>
        <stp>BDP|9186254092886399408|22</stp>
        <stp>USDCLP25B7Y BGN Curncy</stp>
        <stp>Mid</stp>
        <tr r="I19" s="3"/>
      </tp>
      <tp>
        <v>0.36</v>
        <stp/>
        <stp>BDP|6281964931238139428|22</stp>
        <stp>USDCLP25B2M BGN Curncy</stp>
        <stp>Mid</stp>
        <tr r="I8" s="3"/>
      </tp>
      <tp>
        <v>1.2575000000000001</v>
        <stp/>
        <stp>BDP|2128343438586926246|22</stp>
        <stp>USDCLP10B6M BGN Curncy</stp>
        <stp>Mid</stp>
        <tr r="K11" s="3"/>
      </tp>
      <tp>
        <v>4.5119999999999996</v>
        <stp/>
        <stp>BDP|13180376866584084340|22</stp>
        <stp>CHSWPD Curncy</stp>
        <stp>mid</stp>
        <tr r="G34" s="2"/>
      </tp>
      <tp>
        <v>1.7250000000000001</v>
        <stp/>
        <stp>BDP|5061331552248197549|22</stp>
        <stp>USDCLP25R3W BGN Curncy</stp>
        <stp>Mid</stp>
        <tr r="H6" s="3"/>
      </tp>
      <tp>
        <v>3.4249999999999998</v>
        <stp/>
        <stp>BDP|7907493225260822413|22</stp>
        <stp>USDCLP10R1M BGN Curncy</stp>
        <stp>Mid</stp>
        <tr r="J7" s="3"/>
      </tp>
      <tp>
        <v>1.9924999999999999</v>
        <stp/>
        <stp>BDP|5517118452542114388|22</stp>
        <stp>USDCLP25R5Y BGN Curncy</stp>
        <stp>Mid</stp>
        <tr r="H18" s="3"/>
      </tp>
      <tp>
        <v>1.4950000000000001</v>
        <stp/>
        <stp>BDP|2151103533467892372|22</stp>
        <stp>USDCLP25B5Y BGN Curncy</stp>
        <stp>Ask</stp>
        <tr r="L18" s="1"/>
      </tp>
      <tp>
        <v>5.6050000000000004</v>
        <stp/>
        <stp>BDP|10030310257090173609|22</stp>
        <stp>CHSWP20 Curncy</stp>
        <stp>mid</stp>
        <tr r="G52" s="2"/>
      </tp>
      <tp>
        <v>3.35</v>
        <stp/>
        <stp>BDP|17649098413904483469|22</stp>
        <stp>USDCLP10R1M GFFX Curncy</stp>
        <stp>Mid</stp>
        <tr r="J7" s="4"/>
      </tp>
      <tp>
        <v>3.4304999999999999</v>
        <stp/>
        <stp>BDP|18303918900397404486|22</stp>
        <stp>CHEUN3M BGN Curncy</stp>
        <stp>Mid</stp>
        <tr r="P7" s="2"/>
      </tp>
      <tp>
        <v>1.95</v>
        <stp/>
        <stp>BDP|17785449422587905420|22</stp>
        <stp>USDCLP25R5Y GFFX Curncy</stp>
        <stp>Mid</stp>
        <tr r="H18" s="4"/>
      </tp>
      <tp>
        <v>3.49</v>
        <stp/>
        <stp>BDP|16325005298033688663|22</stp>
        <stp>USDCLP10R2M GFFX Curncy</stp>
        <stp>Mid</stp>
        <tr r="J8" s="4"/>
      </tp>
      <tp>
        <v>-1.29</v>
        <stp/>
        <stp>BDP|783000305688963642|22</stp>
        <stp>CHN6M BGN Curncy</stp>
        <stp>Bid</stp>
        <tr r="C13" s="2"/>
      </tp>
      <tp>
        <v>-1.58</v>
        <stp/>
        <stp>BDP|14110222354032616492|22</stp>
        <stp>CHN18M BGN Curncy</stp>
        <stp>Ask</stp>
        <tr r="D20" s="2"/>
      </tp>
      <tp>
        <v>3.9</v>
        <stp/>
        <stp>BDP|14079316312018066760|22</stp>
        <stp>USDCLP10R9M GFFX Curncy</stp>
        <stp>Mid</stp>
        <tr r="J12" s="4"/>
      </tp>
      <tp>
        <v>-1.83</v>
        <stp/>
        <stp>BDP|12047165925471188979|22</stp>
        <stp>CHN11M BGN Curncy</stp>
        <stp>Mid</stp>
        <tr r="E18" s="2"/>
      </tp>
      <tp>
        <v>4.3254000000000001</v>
        <stp/>
        <stp>BDP|11570904370149737796|22</stp>
        <stp>CHEUN4M BGN Curncy</stp>
        <stp>Bid</stp>
        <tr r="N8" s="2"/>
      </tp>
      <tp>
        <v>6.5526999999999997</v>
        <stp/>
        <stp>BDP|17839086727197613710|22</stp>
        <stp>CHEUN6M BGN Curncy</stp>
        <stp>Ask</stp>
        <tr r="O10" s="2"/>
      </tp>
      <tp>
        <v>3.96</v>
        <stp/>
        <stp>BDP|16335316829664973118|22</stp>
        <stp>USDCLP10R1Y GFFX Curncy</stp>
        <stp>Mid</stp>
        <tr r="J13" s="4"/>
      </tp>
      <tp>
        <v>3.3115999999999999</v>
        <stp/>
        <stp>BDP|12346651819631829354|22</stp>
        <stp>CHEUN3M BGN Curncy</stp>
        <stp>Bid</stp>
        <tr r="N7" s="2"/>
      </tp>
      <tp>
        <v>5.3261000000000003</v>
        <stp/>
        <stp>BDP|10227793528033822256|22</stp>
        <stp>CHEUN5M BGN Curncy</stp>
        <stp>Bid</stp>
        <tr r="N9" s="2"/>
      </tp>
      <tp>
        <v>30.837900000000001</v>
        <stp/>
        <stp>BDP|11448989060576366974|22</stp>
        <stp>CHEUN2Y BGN Curncy</stp>
        <stp>Mid</stp>
        <tr r="P13" s="2"/>
      </tp>
      <tp>
        <v>-1.56</v>
        <stp/>
        <stp>BDP|16408139129095289901|22</stp>
        <stp>CHN10M BGN Curncy</stp>
        <stp>Ask</stp>
        <tr r="D17" s="2"/>
      </tp>
      <tp>
        <v>-1.83</v>
        <stp/>
        <stp>BDP|13716024066203794545|22</stp>
        <stp>CHN12M BGN Curncy</stp>
        <stp>Mid</stp>
        <tr r="E19" s="2"/>
      </tp>
      <tp>
        <v>5.5423</v>
        <stp/>
        <stp>BDP|13315519519106193647|22</stp>
        <stp>CHEUN5M BGN Curncy</stp>
        <stp>Ask</stp>
        <tr r="O9" s="2"/>
      </tp>
      <tp>
        <v>108.3459</v>
        <stp/>
        <stp>BDP|15881010568128158717|22</stp>
        <stp>CHEUN5Y BGN Curncy</stp>
        <stp>Mid</stp>
        <tr r="P16" s="2"/>
      </tp>
      <tp>
        <v>12.892899999999999</v>
        <stp/>
        <stp>BDP|4895373441555318010|22</stp>
        <stp>CHEUN12M BGN Curncy</stp>
        <stp>Bid</stp>
        <tr r="N12" s="2"/>
      </tp>
      <tp>
        <v>4.03</v>
        <stp/>
        <stp>BDP|10608646573439148236|22</stp>
        <stp>USDCLP10R4Y GFFX Curncy</stp>
        <stp>Mid</stp>
        <tr r="J17" s="4"/>
      </tp>
      <tp>
        <v>-1.08</v>
        <stp/>
        <stp>BDP|350000024385278007|22</stp>
        <stp>CHN6M BGN Curncy</stp>
        <stp>Ask</stp>
        <tr r="D13" s="2"/>
      </tp>
      <tp>
        <v>6.4046000000000003</v>
        <stp/>
        <stp>BDP|17666186439373644842|22</stp>
        <stp>CHEUN6M BGN Curncy</stp>
        <stp>Mid</stp>
        <tr r="P10" s="2"/>
      </tp>
      <tp>
        <v>0.30819999999999997</v>
        <stp/>
        <stp>BDP|10408828352240806960|22</stp>
        <stp>CHEUN1W BGN Curncy</stp>
        <stp>Ask</stp>
        <tr r="O4" s="2"/>
      </tp>
      <tp>
        <v>-1.63</v>
        <stp/>
        <stp>BDP|13152100390767114802|22</stp>
        <stp>CHN12M BGN Curncy</stp>
        <stp>Ask</stp>
        <tr r="D19" s="2"/>
      </tp>
      <tp>
        <v>2.85</v>
        <stp/>
        <stp>BDP|16297282114211112094|22</stp>
        <stp>USDCLP10R1W GFFX Curncy</stp>
        <stp>Mid</stp>
        <tr r="J4" s="4"/>
      </tp>
      <tp>
        <v>1.1435999999999999</v>
        <stp/>
        <stp>BDP|354631362734472234|22</stp>
        <stp>EUR BGN Curncy</stp>
        <stp>Ask</stp>
        <tr r="G6" s="5"/>
      </tp>
      <tp>
        <v>2</v>
        <stp/>
        <stp>BDP|18248390344211608336|22</stp>
        <stp>USDCLP25R3Y GFFX Curncy</stp>
        <stp>Mid</stp>
        <tr r="H16" s="4"/>
      </tp>
      <tp>
        <v>64.264300000000006</v>
        <stp/>
        <stp>BDP|13593573784333460660|22</stp>
        <stp>CHEUN4Y BGN Curncy</stp>
        <stp>Bid</stp>
        <tr r="N15" s="2"/>
      </tp>
      <tp>
        <v>1.91</v>
        <stp/>
        <stp>BDP|14204180677954464247|22</stp>
        <stp>USDCLP25R7Y GFFX Curncy</stp>
        <stp>Mid</stp>
        <tr r="H19" s="4"/>
      </tp>
      <tp>
        <v>52.711300000000001</v>
        <stp/>
        <stp>BDP|17706299884483117891|22</stp>
        <stp>CHEUN3Y BGN Curncy</stp>
        <stp>Ask</stp>
        <tr r="O14" s="2"/>
      </tp>
      <tp>
        <v>-0.5</v>
        <stp/>
        <stp>BDP|339561604002865556|22</stp>
        <stp>CHN4M BGN Curncy</stp>
        <stp>Ask</stp>
        <tr r="D11" s="2"/>
      </tp>
      <tp>
        <v>13.1959</v>
        <stp/>
        <stp>BDP|6395441215824980632|22</stp>
        <stp>CHEUN12M BGN Curncy</stp>
        <stp>Mid</stp>
        <tr r="P12" s="2"/>
      </tp>
      <tp>
        <v>6.2564000000000002</v>
        <stp/>
        <stp>BDP|14993327646202956894|22</stp>
        <stp>CHEUN6M BGN Curncy</stp>
        <stp>Bid</stp>
        <tr r="N10" s="2"/>
      </tp>
      <tp>
        <v>1.59</v>
        <stp/>
        <stp>BDP|12043011352806330392|22</stp>
        <stp>USDCLP10RON GFFX Curncy</stp>
        <stp>Mid</stp>
        <tr r="J3" s="4"/>
      </tp>
      <tp>
        <v>1.2498</v>
        <stp/>
        <stp>BDP|10390141354718387634|22</stp>
        <stp>CHEUN1M BGN Curncy</stp>
        <stp>Mid</stp>
        <tr r="P5" s="2"/>
      </tp>
      <tp>
        <v>0.26029999999999998</v>
        <stp/>
        <stp>BDP|13809525046623529452|22</stp>
        <stp>CHEUN1W BGN Curncy</stp>
        <stp>Mid</stp>
        <tr r="P4" s="2"/>
      </tp>
      <tp>
        <v>-0.31</v>
        <stp/>
        <stp>BDP|15563903571682966600|22</stp>
        <stp>CHN3M BGN Curncy</stp>
        <stp>Ask</stp>
        <tr r="D10" s="2"/>
      </tp>
      <tp t="s">
        <v>#N/A Requesting Data...2774421488</v>
        <stp/>
        <stp>BDP|4179729209438790738</stp>
        <tr r="B39" s="2"/>
      </tp>
      <tp>
        <v>4.92</v>
        <stp/>
        <stp>BDP|18361097940706979682|22</stp>
        <stp>CHN4Y BGN Curncy</stp>
        <stp>Bid</stp>
        <tr r="C23" s="2"/>
      </tp>
      <tp>
        <v>-1.88</v>
        <stp/>
        <stp>BDP|5177655769705172494|22</stp>
        <stp>CHN18M BGN Curncy</stp>
        <stp>Mid</stp>
        <tr r="E20" s="2"/>
      </tp>
      <tp>
        <v>-0.01</v>
        <stp/>
        <stp>BDP|12456037601565745970|22</stp>
        <stp>CHN2W BGN Curncy</stp>
        <stp>Ask</stp>
        <tr r="D6" s="2"/>
      </tp>
      <tp>
        <v>-0.49</v>
        <stp/>
        <stp>BDP|16406877002824322777|22</stp>
        <stp>CHN3M BGN Curncy</stp>
        <stp>Bid</stp>
        <tr r="C10" s="2"/>
      </tp>
      <tp t="s">
        <v>#N/A Requesting Data...2211973543</v>
        <stp/>
        <stp>BDP|1554545077489575722</stp>
        <tr r="B32" s="2"/>
      </tp>
      <tp>
        <v>-2.0299999999999998</v>
        <stp/>
        <stp>BDP|9273149820234901371|22</stp>
        <stp>CHN11M BGN Curncy</stp>
        <stp>Bid</stp>
        <tr r="C18" s="2"/>
      </tp>
      <tp t="s">
        <v>#N/A Requesting Data...2404269138</v>
        <stp/>
        <stp>BDP|2777041541598944113</stp>
        <tr r="B42" s="2"/>
      </tp>
      <tp t="s">
        <v>#N/A Requesting Data...2424588219</v>
        <stp/>
        <stp>BDP|3636648288753027109</stp>
        <tr r="B51" s="2"/>
      </tp>
      <tp t="s">
        <v>#N/A Requesting Data...2384332510</v>
        <stp/>
        <stp>BDP|9133406688848728266</stp>
        <tr r="B45" s="2"/>
      </tp>
      <tp t="s">
        <v>#N/A Requesting Data...3644376254</v>
        <stp/>
        <stp>BDP|3472849762350323263</stp>
        <tr r="B37" s="2"/>
      </tp>
      <tp t="s">
        <v>#N/A Requesting Data...2366200781</v>
        <stp/>
        <stp>BDP|5652505653548742252</stp>
        <tr r="B35" s="2"/>
      </tp>
      <tp>
        <v>2.17</v>
        <stp/>
        <stp>BDP|13262457394798435916|22</stp>
        <stp>USDCLP10B10Y BGN Curncy</stp>
        <stp>Mid</stp>
        <tr r="K20" s="3"/>
      </tp>
      <tp>
        <v>1.865</v>
        <stp/>
        <stp>BDP|13318982677285756697|22</stp>
        <stp>USDCLP10B18M BGN Curncy</stp>
        <stp>Ask</stp>
        <tr r="P14" s="1"/>
      </tp>
      <tp>
        <v>1.7450000000000001</v>
        <stp/>
        <stp>BDP|16103816539426534706|22</stp>
        <stp>USDCLP25B15Y BGN Curncy</stp>
        <stp>Ask</stp>
        <tr r="L21" s="1"/>
      </tp>
      <tp>
        <v>-0.52</v>
        <stp/>
        <stp>BDP|18297938198749792839|22</stp>
        <stp>CHN2Y BGN Curncy</stp>
        <stp>Bid</stp>
        <tr r="C21" s="2"/>
      </tp>
      <tp>
        <v>3.29</v>
        <stp/>
        <stp>BDP|18372231932608739889|22</stp>
        <stp>CHN3Y BGN Curncy</stp>
        <stp>Bid</stp>
        <tr r="C22" s="2"/>
      </tp>
      <tp>
        <v>0.66</v>
        <stp/>
        <stp>BDP|15026677053046771680|22</stp>
        <stp>USDCLP10B15Y BGN Curncy</stp>
        <stp>Bid</stp>
        <tr r="O21" s="1"/>
      </tp>
      <tp>
        <v>-0.94</v>
        <stp/>
        <stp>BDP|12026673403039088469|22</stp>
        <stp>CHN5M BGN Curncy</stp>
        <stp>Bid</stp>
        <tr r="C12" s="2"/>
      </tp>
      <tp>
        <v>1.605</v>
        <stp/>
        <stp>BDP|10339751949244667073|22</stp>
        <stp>USDCLP25B10Y BGN Curncy</stp>
        <stp>Ask</stp>
        <tr r="L20" s="1"/>
      </tp>
      <tp>
        <v>0.39</v>
        <stp/>
        <stp>BDP|10676861402524367948|22</stp>
        <stp>CHN2Y BGN Curncy</stp>
        <stp>Mid</stp>
        <tr r="E21" s="2"/>
      </tp>
      <tp>
        <v>12.71</v>
        <stp/>
        <stp>BDP|2195629248013366289|22</stp>
        <stp>USDCLPV10Y GFFX Curncy</stp>
        <stp>Mid</stp>
        <tr r="G20" s="4"/>
      </tp>
      <tp>
        <v>3.38</v>
        <stp/>
        <stp>BDP|980861052306454731|22</stp>
        <stp>USDCLP10R18M BGN Curncy</stp>
        <stp>Bid</stp>
        <tr r="M14" s="1"/>
      </tp>
      <tp>
        <v>26.9</v>
        <stp/>
        <stp>BDP|15460188904487751840|22</stp>
        <stp>CHN5Y BGN Curncy</stp>
        <stp>Bid</stp>
        <tr r="C24" s="2"/>
      </tp>
      <tp>
        <v>-0.06</v>
        <stp/>
        <stp>BDP|13911000890896006812|22</stp>
        <stp>CHN3W BGN Curncy</stp>
        <stp>Mid</stp>
        <tr r="E7" s="2"/>
      </tp>
      <tp>
        <v>29.31</v>
        <stp/>
        <stp>BDP|14107411156424205563|22</stp>
        <stp>CHN5Y BGN Curncy</stp>
        <stp>Mid</stp>
        <tr r="E24" s="2"/>
      </tp>
      <tp>
        <v>0.1</v>
        <stp/>
        <stp>BDP|14483238918920766096|22</stp>
        <stp>USDCLP25B10Y BGN Curncy</stp>
        <stp>Bid</stp>
        <tr r="K20" s="1"/>
      </tp>
      <tp t="s">
        <v>#N/A Requesting Data...2525844448</v>
        <stp/>
        <stp>BDP|3465618226320795327</stp>
        <tr r="B38" s="2"/>
      </tp>
      <tp>
        <v>-1.62</v>
        <stp/>
        <stp>BDP|3570030619735611185|22</stp>
        <stp>CHN11M BGN Curncy</stp>
        <stp>Ask</stp>
        <tr r="D18" s="2"/>
      </tp>
      <tp t="s">
        <v>#N/A Requesting Data...2567392488</v>
        <stp/>
        <stp>BDP|1706393940954545736</stp>
        <tr r="B31" s="2"/>
      </tp>
      <tp>
        <v>-0.05</v>
        <stp/>
        <stp>BDP|16420184186181675479|22</stp>
        <stp>CHN2W BGN Curncy</stp>
        <stp>Mid</stp>
        <tr r="E6" s="2"/>
      </tp>
      <tp t="s">
        <v>#N/A Requesting Data...3921171883</v>
        <stp/>
        <stp>BDP|5049676335774082121</stp>
        <tr r="B36" s="2"/>
      </tp>
      <tp>
        <v>-7.0000000000000007E-2</v>
        <stp/>
        <stp>BDP|12566216523315053259|22</stp>
        <stp>CHN1W BGN Curncy</stp>
        <stp>Bid</stp>
        <tr r="C5" s="2"/>
      </tp>
      <tp>
        <v>-2.1800000000000002</v>
        <stp/>
        <stp>BDP|1290859793944337847|22</stp>
        <stp>CHN18M BGN Curncy</stp>
        <stp>Bid</stp>
        <tr r="C20" s="2"/>
      </tp>
      <tp>
        <v>1.1435999999999999</v>
        <stp/>
        <stp>BDP|2914796717759503492|22</stp>
        <stp>EUR BGN Curncy</stp>
        <stp>Bid</stp>
        <tr r="F6" s="5"/>
      </tp>
      <tp>
        <v>2.2075</v>
        <stp/>
        <stp>BDP|12823981032847434122|22</stp>
        <stp>USDCLP10B15Y BGN Curncy</stp>
        <stp>Mid</stp>
        <tr r="K21" s="3"/>
      </tp>
      <tp>
        <v>-0.13</v>
        <stp/>
        <stp>BDP|12236853826369688516|22</stp>
        <stp>CHN2M BGN Curncy</stp>
        <stp>Ask</stp>
        <tr r="D9" s="2"/>
      </tp>
      <tp>
        <v>-1.34</v>
        <stp/>
        <stp>BDP|12548924128806499732|22</stp>
        <stp>CHN7M BGN Curncy</stp>
        <stp>Mid</stp>
        <tr r="E14" s="2"/>
      </tp>
      <tp>
        <v>-0.87</v>
        <stp/>
        <stp>BDP|12156474742412752850|22</stp>
        <stp>CHN5M BGN Curncy</stp>
        <stp>Mid</stp>
        <tr r="E12" s="2"/>
      </tp>
      <tp>
        <v>-0.01</v>
        <stp/>
        <stp>BDP|10987369165686703061|22</stp>
        <stp>CHNSN BGN Curncy</stp>
        <stp>Ask</stp>
        <tr r="D4" s="2"/>
      </tp>
      <tp>
        <v>4.8</v>
        <stp/>
        <stp>BDP|14459680922587755868|22</stp>
        <stp>CHN3Y BGN Curncy</stp>
        <stp>Mid</stp>
        <tr r="E22" s="2"/>
      </tp>
      <tp t="s">
        <v>#N/A Requesting Data...2352046437</v>
        <stp/>
        <stp>BDP|1568646570839838968</stp>
        <tr r="B48" s="2"/>
      </tp>
      <tp>
        <v>-0.09</v>
        <stp/>
        <stp>BDP|16463459237779231849|22</stp>
        <stp>CHN2W BGN Curncy</stp>
        <stp>Bid</stp>
        <tr r="C6" s="2"/>
      </tp>
      <tp>
        <v>-2.0299999999999998</v>
        <stp/>
        <stp>BDP|8494579721065676023|22</stp>
        <stp>CHN12M BGN Curncy</stp>
        <stp>Bid</stp>
        <tr r="C19" s="2"/>
      </tp>
      <tp>
        <v>0.85250000000000004</v>
        <stp/>
        <stp>BDP|14607980647051840894|22</stp>
        <stp>USDCLP25B10Y BGN Curncy</stp>
        <stp>Mid</stp>
        <tr r="I20" s="3"/>
      </tp>
      <tp>
        <v>-0.23</v>
        <stp/>
        <stp>BDP|10312955549822989199|22</stp>
        <stp>CHN2M BGN Curncy</stp>
        <stp>Mid</stp>
        <tr r="E9" s="2"/>
      </tp>
      <tp t="s">
        <v>#N/A Requesting Data...3446652401</v>
        <stp/>
        <stp>BDP|8816301490375894692</stp>
        <tr r="B49" s="2"/>
      </tp>
      <tp>
        <v>-1.97</v>
        <stp/>
        <stp>BDP|1152186919596770208|22</stp>
        <stp>CHN10M BGN Curncy</stp>
        <stp>Bid</stp>
        <tr r="C17" s="2"/>
      </tp>
      <tp>
        <v>-0.19</v>
        <stp/>
        <stp>BDP|15575104722634969953|22</stp>
        <stp>USDCLP25B15Y BGN Curncy</stp>
        <stp>Bid</stp>
        <tr r="K21" s="1"/>
      </tp>
      <tp>
        <v>-1.51</v>
        <stp/>
        <stp>BDP|17415000907772700807|22</stp>
        <stp>CHN8M BGN Curncy</stp>
        <stp>Mid</stp>
        <tr r="E15" s="2"/>
      </tp>
      <tp t="s">
        <v>#N/A Requesting Data...2419101439</v>
        <stp/>
        <stp>BDP|2024079790921800891</stp>
        <tr r="B46" s="2"/>
      </tp>
      <tp>
        <v>-1.48</v>
        <stp/>
        <stp>BDP|15527705515507601472|22</stp>
        <stp>CHN9M BGN Curncy</stp>
        <stp>Ask</stp>
        <tr r="D16" s="2"/>
      </tp>
      <tp>
        <v>-0.01</v>
        <stp/>
        <stp>BDP|17137996896037469394|22</stp>
        <stp>CHNSN BGN Curncy</stp>
        <stp>Bid</stp>
        <tr r="C4" s="2"/>
      </tp>
      <tp>
        <v>-1.76</v>
        <stp/>
        <stp>BDP|5981195208296152535|22</stp>
        <stp>CHN10M BGN Curncy</stp>
        <stp>Mid</stp>
        <tr r="E17" s="2"/>
      </tp>
      <tp>
        <v>28.59</v>
        <stp/>
        <stp>BDP|16034741526171818303|22</stp>
        <stp>EUR2M BGN Curncy</stp>
        <stp>Bid</stp>
        <tr r="C12" s="5"/>
      </tp>
      <tp>
        <v>4.5</v>
        <stp/>
        <stp>BDP|14205108960618369988|22</stp>
        <stp>CHIBPROM Index</stp>
        <stp>mid</stp>
        <tr r="G30" s="2"/>
      </tp>
      <tp>
        <v>4.5199999999999996</v>
        <stp/>
        <stp>BDP|17160248590699159273|22</stp>
        <stp>USDCLP10R18M BGN Curncy</stp>
        <stp>Ask</stp>
        <tr r="N14" s="1"/>
      </tp>
      <tp>
        <v>34.56</v>
        <stp/>
        <stp>BDP|9194203586596748897|22</stp>
        <stp>EURSEP BGN Curncy</stp>
        <stp>Mid</stp>
        <tr r="E19" s="5"/>
      </tp>
      <tp>
        <v>158.55000000000001</v>
        <stp/>
        <stp>BDP|2250420206472809778|22</stp>
        <stp>EURJUN BGN Curncy</stp>
        <stp>Mid</stp>
        <tr r="E14" s="5"/>
      </tp>
      <tp>
        <v>1055.6099999999999</v>
        <stp/>
        <stp>BDP|3325123970183371844|22</stp>
        <stp>EURCLP BGN Curncy</stp>
        <stp>Bid</stp>
        <tr r="N3" s="2"/>
        <tr r="Q3" s="2"/>
      </tp>
      <tp>
        <v>11.77</v>
        <stp/>
        <stp>BDP|5673368945051241284|22</stp>
        <stp>USDCLPV5Y BGN Curncy</stp>
        <stp>Bid</stp>
        <tr r="G18" s="1"/>
      </tp>
      <tp>
        <v>124.39</v>
        <stp/>
        <stp>BDP|11681633043321187211|22</stp>
        <stp>EUR9M BGN Curncy</stp>
        <stp>Bid</stp>
        <tr r="C21" s="5"/>
      </tp>
      <tp>
        <v>3.13</v>
        <stp/>
        <stp>BDP|17014864015835673909|22</stp>
        <stp>USDCLP25R10Y BGN Curncy</stp>
        <stp>Ask</stp>
        <tr r="J20" s="1"/>
      </tp>
      <tp>
        <v>68.63</v>
        <stp/>
        <stp>BDP|12368298377047144021|22</stp>
        <stp>EUR5M BGN Curncy</stp>
        <stp>Bid</stp>
        <tr r="C17" s="5"/>
      </tp>
      <tp>
        <v>12.84</v>
        <stp/>
        <stp>BDP|2571545770709773601|22</stp>
        <stp>USDCLPV4Y BGN Curncy</stp>
        <stp>Mid</stp>
        <tr r="G17" s="3"/>
      </tp>
      <tp>
        <v>4.5354000000000001</v>
        <stp/>
        <stp>BDP|5017782404406916604|22</stp>
        <stp>CHSWPJ Curncy</stp>
        <stp>ask</stp>
        <tr r="F40" s="2"/>
      </tp>
      <tp>
        <v>4.5334000000000003</v>
        <stp/>
        <stp>BDP|1826598885568390725|22</stp>
        <stp>CHSWPK Curncy</stp>
        <stp>ask</stp>
        <tr r="F41" s="2"/>
      </tp>
      <tp>
        <v>4.9249999999999998</v>
        <stp/>
        <stp>BDP|6145602020359066680|22</stp>
        <stp>CHSWP5 Curncy</stp>
        <stp>mid</stp>
        <tr r="G46" s="2"/>
      </tp>
      <tp>
        <v>4.5149999999999997</v>
        <stp/>
        <stp>BDP|2820400151046571854|22</stp>
        <stp>CHSWPB Curncy</stp>
        <stp>mid</stp>
        <tr r="G32" s="2"/>
      </tp>
      <tp>
        <v>777.05</v>
        <stp/>
        <stp>BDP|13388461281155790912|22</stp>
        <stp>EUR5Y BGN Curncy</stp>
        <stp>Bid</stp>
        <tr r="C28" s="5"/>
      </tp>
      <tp>
        <v>327.95</v>
        <stp/>
        <stp>BDP|11542313955069209253|22</stp>
        <stp>EUR2Y BGN Curncy</stp>
        <stp>Mid</stp>
        <tr r="E25" s="5"/>
      </tp>
      <tp>
        <v>0.45100000000000001</v>
        <stp/>
        <stp>BDP|10296044041084839012|22</stp>
        <stp>EURTN BGN Curncy</stp>
        <stp>Ask</stp>
        <tr r="D5" s="5"/>
      </tp>
      <tp>
        <v>21.06</v>
        <stp/>
        <stp>BDP|6777946822959082498|22</stp>
        <stp>USDCLPVON BGN Curncy</stp>
        <stp>Ask</stp>
        <tr r="H3" s="1"/>
      </tp>
      <tp>
        <v>117.52</v>
        <stp/>
        <stp>BDP|8827001462908549944|22</stp>
        <stp>EURMAR BGN Curncy</stp>
        <stp>Mid</stp>
        <tr r="E9" s="5"/>
      </tp>
      <tp>
        <v>13.005000000000001</v>
        <stp/>
        <stp>BDP|9821799869917835341|22</stp>
        <stp>USDCLPV3W BGN Curncy</stp>
        <stp>Mid</stp>
        <tr r="G6" s="3"/>
      </tp>
      <tp>
        <v>158.05000000000001</v>
        <stp/>
        <stp>BDP|7833491594759428655|22</stp>
        <stp>EURJUN BGN Curncy</stp>
        <stp>Bid</stp>
        <tr r="C14" s="5"/>
      </tp>
      <tp>
        <v>84.79</v>
        <stp/>
        <stp>BDP|14308200885922867187|22</stp>
        <stp>EUR6M BGN Curncy</stp>
        <stp>Mid</stp>
        <tr r="E18" s="5"/>
      </tp>
      <tp>
        <v>11.605</v>
        <stp/>
        <stp>BDP|5885427112042392068|22</stp>
        <stp>USDCLPV2W BGN Curncy</stp>
        <stp>Bid</stp>
        <tr r="G5" s="1"/>
      </tp>
      <tp>
        <v>1.3420000000000001</v>
        <stp/>
        <stp>BDP|12232696760413763492|22</stp>
        <stp>EURSN BGN Curncy</stp>
        <stp>Bid</stp>
        <tr r="C7" s="5"/>
      </tp>
      <tp>
        <v>4.5</v>
        <stp/>
        <stp>BDP|11593121561301551336|22</stp>
        <stp>CHIBPROM Index</stp>
        <stp>ask</stp>
        <tr r="F30" s="2"/>
      </tp>
      <tp>
        <v>3.19</v>
        <stp/>
        <stp>BDP|16558146260946091173|22</stp>
        <stp>EUR1W BGN Curncy</stp>
        <stp>Ask</stp>
        <tr r="D8" s="5"/>
      </tp>
      <tp>
        <v>118.02</v>
        <stp/>
        <stp>BDP|9848794920260070700|22</stp>
        <stp>EURMAR BGN Curncy</stp>
        <stp>Ask</stp>
        <tr r="D9" s="5"/>
      </tp>
      <tp>
        <v>34.06</v>
        <stp/>
        <stp>BDP|8568752768595840420|22</stp>
        <stp>EURSEP BGN Curncy</stp>
        <stp>Bid</stp>
        <tr r="C19" s="5"/>
      </tp>
      <tp>
        <v>78.680000000000007</v>
        <stp/>
        <stp>BDP|9998503010012009845|22</stp>
        <stp>EURMB1 BGN Curncy</stp>
        <stp>Mid</stp>
        <tr r="E23" s="5"/>
      </tp>
      <tp>
        <v>12.5825</v>
        <stp/>
        <stp>BDP|9233510863536294675|22</stp>
        <stp>USDCLPV4M BGN Curncy</stp>
        <stp>Mid</stp>
        <tr r="G10" s="3"/>
      </tp>
      <tp>
        <v>4.5289999999999999</v>
        <stp/>
        <stp>BDP|4244517552429213531|22</stp>
        <stp>CHSWPD Curncy</stp>
        <stp>ask</stp>
        <tr r="F34" s="2"/>
      </tp>
      <tp>
        <v>3.355</v>
        <stp/>
        <stp>BDP|453780903719524637|22</stp>
        <stp>USDCLP10R9M BGN Curncy</stp>
        <stp>Bid</stp>
        <tr r="M12" s="1"/>
      </tp>
      <tp>
        <v>2.3050000000000002</v>
        <stp/>
        <stp>BDP|18397798542248036158|22</stp>
        <stp>USDCLP25R18M BGN Curncy</stp>
        <stp>Ask</stp>
        <tr r="J14" s="1"/>
      </tp>
      <tp>
        <v>12.45</v>
        <stp/>
        <stp>BDP|9334346746652050733|22</stp>
        <stp>USDCLPV6M BGN Curncy</stp>
        <stp>Mid</stp>
        <tr r="G11" s="3"/>
      </tp>
      <tp>
        <v>11.37</v>
        <stp/>
        <stp>BDP|3877883030525674920|22</stp>
        <stp>USDCLPV3Y BGN Curncy</stp>
        <stp>Bid</stp>
        <tr r="G16" s="1"/>
      </tp>
      <tp>
        <v>159.03</v>
        <stp/>
        <stp>BDP|1635609500140864426|22</stp>
        <stp>EURMB7 BGN Curncy</stp>
        <stp>Mid</stp>
        <tr r="E15" s="5"/>
      </tp>
      <tp>
        <v>12.72</v>
        <stp/>
        <stp>BDP|4320921875952823369|22</stp>
        <stp>USDCLPV2Y BGN Curncy</stp>
        <stp>Mid</stp>
        <tr r="G15" s="3"/>
      </tp>
      <tp>
        <v>165.67</v>
        <stp/>
        <stp>BDP|5901329231821815318|22</stp>
        <stp>EUR12M BGN Curncy</stp>
        <stp>Bid</stp>
        <tr r="C24" s="5"/>
      </tp>
      <tp>
        <v>4.9440999999999997</v>
        <stp/>
        <stp>BDP|6594498484504084692|22</stp>
        <stp>CHSWP5 Curncy</stp>
        <stp>ask</stp>
        <tr r="F46" s="2"/>
      </tp>
      <tp>
        <v>4.5229999999999997</v>
        <stp/>
        <stp>BDP|9587698933419252906|22</stp>
        <stp>CHSWPK Curncy</stp>
        <stp>mid</stp>
        <tr r="G41" s="2"/>
      </tp>
      <tp>
        <v>1.0249999999999999</v>
        <stp/>
        <stp>BDP|18078813786675968134|22</stp>
        <stp>USDCLP25R10Y BGN Curncy</stp>
        <stp>Bid</stp>
        <tr r="I20" s="1"/>
      </tp>
      <tp>
        <v>13.24</v>
        <stp/>
        <stp>BDP|5017224744762637598|22</stp>
        <stp>USDCLPV3M BGN Curncy</stp>
        <stp>Ask</stp>
        <tr r="H9" s="1"/>
      </tp>
      <tp>
        <v>11.89</v>
        <stp/>
        <stp>BDP|2884025308040054523|22</stp>
        <stp>USDCLPV3W BGN Curncy</stp>
        <stp>Bid</stp>
        <tr r="G6" s="1"/>
      </tp>
      <tp>
        <v>167.01</v>
        <stp/>
        <stp>BDP|4770133031022414623|22</stp>
        <stp>EUR12M BGN Curncy</stp>
        <stp>Ask</stp>
        <tr r="D24" s="5"/>
      </tp>
      <tp>
        <v>4.4985999999999997</v>
        <stp/>
        <stp>BDP|3274639895062360961|22</stp>
        <stp>CHSWPB Curncy</stp>
        <stp>bid</stp>
        <tr r="E32" s="2"/>
      </tp>
      <tp>
        <v>5.0854999999999997</v>
        <stp/>
        <stp>BDP|1359138966628421334|22</stp>
        <stp>CHSWP7 Curncy</stp>
        <stp>bid</stp>
        <tr r="E48" s="2"/>
      </tp>
      <tp>
        <v>5.0071000000000003</v>
        <stp/>
        <stp>BDP|4279358824477091720|22</stp>
        <stp>CHSWP6 Curncy</stp>
        <stp>bid</stp>
        <tr r="E47" s="2"/>
      </tp>
      <tp>
        <v>4.5250000000000004</v>
        <stp/>
        <stp>BDP|3056661042011364893|22</stp>
        <stp>CHSWPI Curncy</stp>
        <stp>mid</stp>
        <tr r="G39" s="2"/>
      </tp>
      <tp>
        <v>0.438</v>
        <stp/>
        <stp>BDP|18385689392094337549|22</stp>
        <stp>EURTN BGN Curncy</stp>
        <stp>Bid</stp>
        <tr r="C5" s="5"/>
      </tp>
      <tp>
        <v>0.44600000000000001</v>
        <stp/>
        <stp>BDP|10700407476126746085|22</stp>
        <stp>EURON BGN Curncy</stp>
        <stp>Ask</stp>
        <tr r="D4" s="5"/>
      </tp>
      <tp>
        <v>78.180000000000007</v>
        <stp/>
        <stp>BDP|8512134361134290043|22</stp>
        <stp>EURMB1 BGN Curncy</stp>
        <stp>Bid</stp>
        <tr r="C23" s="5"/>
      </tp>
      <tp>
        <v>42.89</v>
        <stp/>
        <stp>BDP|14666750157615852507|22</stp>
        <stp>EUR3M BGN Curncy</stp>
        <stp>Mid</stp>
        <tr r="E13" s="5"/>
      </tp>
      <tp>
        <v>4.2699999999999996</v>
        <stp/>
        <stp>BDP|17824151132801837213|22</stp>
        <stp>USDCLP10R10Y GFFX Curncy</stp>
        <stp>Mid</stp>
        <tr r="J20" s="4"/>
      </tp>
      <tp>
        <v>125.82</v>
        <stp/>
        <stp>BDP|15550883311853949554|22</stp>
        <stp>EUR9M BGN Curncy</stp>
        <stp>Ask</stp>
        <tr r="D21" s="5"/>
      </tp>
      <tp>
        <v>487.52</v>
        <stp/>
        <stp>BDP|17440443181755381440|22</stp>
        <stp>EUR3Y BGN Curncy</stp>
        <stp>Ask</stp>
        <tr r="D26" s="5"/>
      </tp>
      <tp>
        <v>158.53</v>
        <stp/>
        <stp>BDP|6385955313598858931|22</stp>
        <stp>EURMB7 BGN Curncy</stp>
        <stp>Bid</stp>
        <tr r="C15" s="5"/>
      </tp>
      <tp>
        <v>17.27</v>
        <stp/>
        <stp>BDP|6751026063641530772|22</stp>
        <stp>USDCLPVON BGN Curncy</stp>
        <stp>Mid</stp>
        <tr r="G3" s="3"/>
      </tp>
      <tp>
        <v>3.21</v>
        <stp/>
        <stp>BDP|835804183975456063|22</stp>
        <stp>USDCLP10B7Y BGN Curncy</stp>
        <stp>Ask</stp>
        <tr r="P19" s="1"/>
      </tp>
      <tp>
        <v>4.5209999999999999</v>
        <stp/>
        <stp>BDP|1132306131385460849|22</stp>
        <stp>CHSWPJ Curncy</stp>
        <stp>mid</stp>
        <tr r="G40" s="2"/>
      </tp>
      <tp>
        <v>4.4943999999999997</v>
        <stp/>
        <stp>BDP|4417199329815836434|22</stp>
        <stp>CHSWPC Curncy</stp>
        <stp>bid</stp>
        <tr r="E33" s="2"/>
      </tp>
      <tp>
        <v>0.44500000000000001</v>
        <stp/>
        <stp>BDP|17425184968756477124|22</stp>
        <stp>EURTN BGN Curncy</stp>
        <stp>Mid</stp>
        <tr r="E5" s="5"/>
      </tp>
      <tp>
        <v>4.5</v>
        <stp/>
        <stp>BDP|12809441512335900384|22</stp>
        <stp>CHIBPROM Index</stp>
        <stp>bid</stp>
        <tr r="E30" s="2"/>
      </tp>
      <tp>
        <v>1.3520000000000001</v>
        <stp/>
        <stp>BDP|15516434931693813641|22</stp>
        <stp>EURSN BGN Curncy</stp>
        <stp>Mid</stp>
        <tr r="E7" s="5"/>
      </tp>
      <tp>
        <v>2.645</v>
        <stp/>
        <stp>BDP|10175945135887953444|22</stp>
        <stp>USDCLP10R10Y BGN Curncy</stp>
        <stp>Bid</stp>
        <tr r="M20" s="1"/>
      </tp>
      <tp>
        <v>3.88</v>
        <stp/>
        <stp>BDP|13439567978695699864|22</stp>
        <stp>USDCLP10R15Y BGN Curncy</stp>
        <stp>Mid</stp>
        <tr r="J21" s="3"/>
      </tp>
      <tp>
        <v>330.38</v>
        <stp/>
        <stp>BDP|11026952733957423773|22</stp>
        <stp>EUR2Y BGN Curncy</stp>
        <stp>Ask</stp>
        <tr r="D25" s="5"/>
      </tp>
      <tp>
        <v>14.36</v>
        <stp/>
        <stp>BDP|13550140790096433621|22</stp>
        <stp>EUR1M BGN Curncy</stp>
        <stp>Ask</stp>
        <tr r="D11" s="5"/>
      </tp>
      <tp>
        <v>4.5411999999999999</v>
        <stp/>
        <stp>BDP|2467934929883735473|22</stp>
        <stp>CHSWP1 Curncy</stp>
        <stp>bid</stp>
        <tr r="E42" s="2"/>
      </tp>
      <tp>
        <v>4.5060000000000002</v>
        <stp/>
        <stp>BDP|2641976000878903764|22</stp>
        <stp>CHSWPG Curncy</stp>
        <stp>bid</stp>
        <tr r="E37" s="2"/>
      </tp>
      <tp>
        <v>0.43</v>
        <stp/>
        <stp>BDP|16880736173522963090|22</stp>
        <stp>EURON BGN Curncy</stp>
        <stp>Mid</stp>
        <tr r="E4" s="5"/>
      </tp>
      <tp>
        <v>2.33</v>
        <stp/>
        <stp>BDP|10409283295976822931|22</stp>
        <stp>USDCLP10B15Y GFFX Curncy</stp>
        <stp>Mid</stp>
        <tr r="K21" s="4"/>
      </tp>
      <tp>
        <v>117.48</v>
        <stp/>
        <stp>BDP|3186012977677815531|22</stp>
        <stp>EURMB4 BGN Curncy</stp>
        <stp>Bid</stp>
        <tr r="C10" s="5"/>
      </tp>
      <tp>
        <v>5.18</v>
        <stp/>
        <stp>BDP|8333602826923360545|22</stp>
        <stp>CHSWP8 Curncy</stp>
        <stp>mid</stp>
        <tr r="G49" s="2"/>
      </tp>
      <tp>
        <v>0.41399999999999998</v>
        <stp/>
        <stp>BDP|11431604822017782888|22</stp>
        <stp>EURON BGN Curncy</stp>
        <stp>Bid</stp>
        <tr r="C4" s="5"/>
      </tp>
      <tp>
        <v>2.56</v>
        <stp/>
        <stp>BDP|14899843752635616986|22</stp>
        <stp>USDCLP10B10Y GFFX Curncy</stp>
        <stp>Mid</stp>
        <tr r="K20" s="4"/>
      </tp>
      <tp>
        <v>55.91</v>
        <stp/>
        <stp>BDP|11974190613220917860|22</stp>
        <stp>EUR4M BGN Curncy</stp>
        <stp>Ask</stp>
        <tr r="D16" s="5"/>
      </tp>
      <tp>
        <v>14.215</v>
        <stp/>
        <stp>BDP|9653765370539382996|22</stp>
        <stp>USDCLPV1W BGN Curncy</stp>
        <stp>Ask</stp>
        <tr r="H4" s="1"/>
      </tp>
      <tp>
        <v>159.53</v>
        <stp/>
        <stp>BDP|5964521105181883980|22</stp>
        <stp>EURMB7 BGN Curncy</stp>
        <stp>Ask</stp>
        <tr r="D15" s="5"/>
      </tp>
      <tp>
        <v>13.074999999999999</v>
        <stp/>
        <stp>BDP|4604292786792988546|22</stp>
        <stp>USDCLPV4M BGN Curncy</stp>
        <stp>Ask</stp>
        <tr r="H10" s="1"/>
      </tp>
      <tp>
        <v>166.34</v>
        <stp/>
        <stp>BDP|5672011225521949593|22</stp>
        <stp>EUR12M BGN Curncy</stp>
        <stp>Mid</stp>
        <tr r="E24" s="5"/>
      </tp>
      <tp>
        <v>4.6397000000000004</v>
        <stp/>
        <stp>BDP|6890016811815553924|22</stp>
        <stp>CHSWP2 Curncy</stp>
        <stp>ask</stp>
        <tr r="F43" s="2"/>
      </tp>
      <tp>
        <v>3.1349999999999998</v>
        <stp/>
        <stp>BDP|16117234996332984202|22</stp>
        <stp>USDCLP25R15Y BGN Curncy</stp>
        <stp>Ask</stp>
        <tr r="J21" s="1"/>
      </tp>
      <tp>
        <v>28.86</v>
        <stp/>
        <stp>BDP|11473717668666106863|22</stp>
        <stp>EUR2M BGN Curncy</stp>
        <stp>Ask</stp>
        <tr r="D12" s="5"/>
      </tp>
      <tp>
        <v>11.95</v>
        <stp/>
        <stp>BDP|1490023617204316966|22</stp>
        <stp>USDCLPV6M BGN Curncy</stp>
        <stp>Bid</stp>
        <tr r="G11" s="1"/>
      </tp>
      <tp>
        <v>4.7050999999999998</v>
        <stp/>
        <stp>BDP|6726633904039321389|22</stp>
        <stp>CHSWP3 Curncy</stp>
        <stp>bid</stp>
        <tr r="E44" s="2"/>
      </tp>
      <tp>
        <v>4.5140000000000002</v>
        <stp/>
        <stp>BDP|6651696451709033754|22</stp>
        <stp>CHSWPH Curncy</stp>
        <stp>bid</stp>
        <tr r="E38" s="2"/>
      </tp>
      <tp>
        <v>6.2549999999999999</v>
        <stp/>
        <stp>BDP|11131093972164076850|22</stp>
        <stp>USDCLP10R10Y BGN Curncy</stp>
        <stp>Ask</stp>
        <tr r="N20" s="1"/>
      </tp>
      <tp>
        <v>3.88</v>
        <stp/>
        <stp>BDP|11165451378839591865|22</stp>
        <stp>USDCLP10R15Y GFFX Curncy</stp>
        <stp>Mid</stp>
        <tr r="J21" s="4"/>
      </tp>
      <tp>
        <v>79.180000000000007</v>
        <stp/>
        <stp>BDP|8442571579834760958|22</stp>
        <stp>EURMB1 BGN Curncy</stp>
        <stp>Ask</stp>
        <tr r="D23" s="5"/>
      </tp>
      <tp>
        <v>14.27</v>
        <stp/>
        <stp>BDP|4700268040735076849|22</stp>
        <stp>USDCLPV4Y BGN Curncy</stp>
        <stp>Ask</stp>
        <tr r="H17" s="1"/>
      </tp>
      <tp>
        <v>117.02</v>
        <stp/>
        <stp>BDP|2696497634400460946|22</stp>
        <stp>EURMAR BGN Curncy</stp>
        <stp>Bid</stp>
        <tr r="C9" s="5"/>
      </tp>
      <tp>
        <v>12.27</v>
        <stp/>
        <stp>BDP|2762565892011544315|22</stp>
        <stp>USDCLPV1M BGN Curncy</stp>
        <stp>Bid</stp>
        <tr r="G7" s="1"/>
      </tp>
      <tp>
        <v>13.26</v>
        <stp/>
        <stp>BDP|2468688006844557350|22</stp>
        <stp>USDCLPV7Y BGN Curncy</stp>
        <stp>Mid</stp>
        <tr r="G19" s="3"/>
      </tp>
      <tp>
        <v>0.96499999999999997</v>
        <stp/>
        <stp>BDP|576674288706080277|22</stp>
        <stp>USDCLP25R3Y BGN Curncy</stp>
        <stp>Bid</stp>
        <tr r="I16" s="1"/>
      </tp>
      <tp>
        <v>4.0025000000000004</v>
        <stp/>
        <stp>BDP|794924063983065413|22</stp>
        <stp>USDCLP10R4Y BGN Curncy</stp>
        <stp>Mid</stp>
        <tr r="J17" s="3"/>
      </tp>
      <tp>
        <v>5.0250000000000004</v>
        <stp/>
        <stp>BDP|8012327318580816672|22</stp>
        <stp>CHSWP6 Curncy</stp>
        <stp>mid</stp>
        <tr r="G47" s="2"/>
      </tp>
      <tp>
        <v>4.4916999999999998</v>
        <stp/>
        <stp>BDP|1911456052224363174|22</stp>
        <stp>CHSWPA Curncy</stp>
        <stp>bid</stp>
        <tr r="E31" s="2"/>
      </tp>
      <tp>
        <v>1.361</v>
        <stp/>
        <stp>BDP|14658619087901415712|22</stp>
        <stp>EURSN BGN Curncy</stp>
        <stp>Ask</stp>
        <tr r="D7" s="5"/>
      </tp>
      <tp>
        <v>3.95</v>
        <stp/>
        <stp>BDP|13023601139749131129|22</stp>
        <stp>USDCLP10R18M BGN Curncy</stp>
        <stp>Mid</stp>
        <tr r="J14" s="3"/>
      </tp>
      <tp>
        <v>12.87</v>
        <stp/>
        <stp>BDP|6275045267139374596|22</stp>
        <stp>USDCLPV9M BGN Curncy</stp>
        <stp>Ask</stp>
        <tr r="H12" s="1"/>
      </tp>
      <tp>
        <v>11.99</v>
        <stp/>
        <stp>BDP|9496143901076125173|22</stp>
        <stp>USDCLPV9M BGN Curncy</stp>
        <stp>Bid</stp>
        <tr r="G12" s="1"/>
      </tp>
      <tp>
        <v>4.51</v>
        <stp/>
        <stp>BDP|4873918594966272092|22</stp>
        <stp>CHSWPC Curncy</stp>
        <stp>mid</stp>
        <tr r="G33" s="2"/>
      </tp>
      <tp>
        <v>4.516</v>
        <stp/>
        <stp>BDP|3714373212231349572|22</stp>
        <stp>CHSWPG Curncy</stp>
        <stp>mid</stp>
        <tr r="G37" s="2"/>
      </tp>
      <tp>
        <v>4.9058999999999999</v>
        <stp/>
        <stp>BDP|9463749732147905228|22</stp>
        <stp>CHSWP5 Curncy</stp>
        <stp>bid</stp>
        <tr r="E46" s="2"/>
      </tp>
      <tp>
        <v>4.62</v>
        <stp/>
        <stp>BDP|5029442506624145056|22</stp>
        <stp>CHSWP2 Curncy</stp>
        <stp>mid</stp>
        <tr r="G43" s="2"/>
      </tp>
      <tp>
        <v>3.17</v>
        <stp/>
        <stp>BDP|18189528786251861515|22</stp>
        <stp>EUR1W BGN Curncy</stp>
        <stp>Mid</stp>
        <tr r="E8" s="5"/>
      </tp>
      <tp>
        <v>2.0775000000000001</v>
        <stp/>
        <stp>BDP|15851539263015124425|22</stp>
        <stp>USDCLP25R10Y BGN Curncy</stp>
        <stp>Mid</stp>
        <tr r="H20" s="3"/>
      </tp>
      <tp>
        <v>69.17</v>
        <stp/>
        <stp>BDP|16414911015264434779|22</stp>
        <stp>EUR5M BGN Curncy</stp>
        <stp>Ask</stp>
        <tr r="D17" s="5"/>
      </tp>
      <tp>
        <v>43.04</v>
        <stp/>
        <stp>BDP|16919706058061428811|22</stp>
        <stp>EUR3M BGN Curncy</stp>
        <stp>Ask</stp>
        <tr r="D13" s="5"/>
      </tp>
      <tp>
        <v>1.9750000000000001</v>
        <stp/>
        <stp>BDP|12791394898982917500|22</stp>
        <stp>USDCLP25R18M BGN Curncy</stp>
        <stp>Mid</stp>
        <tr r="H14" s="3"/>
      </tp>
      <tp>
        <v>35.06</v>
        <stp/>
        <stp>BDP|6516339559763553308|22</stp>
        <stp>EURSEP BGN Curncy</stp>
        <stp>Ask</stp>
        <tr r="D19" s="5"/>
      </tp>
      <tp>
        <v>4.5259999999999998</v>
        <stp/>
        <stp>BDP|6996120048831160998|22</stp>
        <stp>CHSWPG Curncy</stp>
        <stp>ask</stp>
        <tr r="F37" s="2"/>
      </tp>
      <tp>
        <v>4.5065999999999997</v>
        <stp/>
        <stp>BDP|3899860056672025803|22</stp>
        <stp>CHSWPJ Curncy</stp>
        <stp>bid</stp>
        <tr r="E40" s="2"/>
      </tp>
      <tp>
        <v>11.87</v>
        <stp/>
        <stp>BDP|11360382080173641696|22</stp>
        <stp>USDCLPV10Y BGN Curncy</stp>
        <stp>Bid</stp>
        <tr r="G20" s="1"/>
      </tp>
      <tp>
        <v>0.32</v>
        <stp/>
        <stp>BDP|2477699447817461000|22</stp>
        <stp>USDCLP25B18M BGN Curncy</stp>
        <stp>Bid</stp>
        <tr r="K14" s="1"/>
      </tp>
      <tp>
        <v>0.79500000000000004</v>
        <stp/>
        <stp>BDP|4038784895129011247|22</stp>
        <stp>USDCLP25B18M BGN Curncy</stp>
        <stp>Ask</stp>
        <tr r="L14" s="1"/>
      </tp>
      <tp>
        <v>3.7549999999999999</v>
        <stp/>
        <stp>BDP|1669870025188983333|22</stp>
        <stp>USDCLP10B15Y BGN Curncy</stp>
        <stp>Ask</stp>
        <tr r="P21" s="1"/>
      </tp>
      <tp>
        <v>13.26</v>
        <stp/>
        <stp>BDP|11245102014096272777|22</stp>
        <stp>USDCLPV15Y BGN Curncy</stp>
        <stp>Ask</stp>
        <tr r="H21" s="1"/>
      </tp>
      <tp>
        <v>0.96499999999999997</v>
        <stp/>
        <stp>BDP|7527349044044454842|22</stp>
        <stp>USDCLP10B10Y BGN Curncy</stp>
        <stp>Bid</stp>
        <tr r="O20" s="1"/>
      </tp>
      <tp>
        <v>12.13</v>
        <stp/>
        <stp>BDP|10508151995318750218|22</stp>
        <stp>USDCLPV18M BGN Curncy</stp>
        <stp>Bid</stp>
        <tr r="G14" s="1"/>
      </tp>
      <tp>
        <v>0.77749999999999997</v>
        <stp/>
        <stp>BDP|7711047510070958760|22</stp>
        <stp>USDCLP25B15Y BGN Curncy</stp>
        <stp>Mid</stp>
        <tr r="I21" s="3"/>
      </tp>
      <tp>
        <v>0.5575</v>
        <stp/>
        <stp>BDP|1935832893606299146|22</stp>
        <stp>USDCLP25B18M BGN Curncy</stp>
        <stp>Mid</stp>
        <tr r="I14" s="3"/>
      </tp>
      <tp t="s">
        <v>#N/A Requesting Data...3348098472</v>
        <stp/>
        <stp>BDP|458475481471092124</stp>
        <tr r="B50" s="2"/>
      </tp>
      <tp>
        <v>14.875</v>
        <stp/>
        <stp>BDP|12718416051848327685|22</stp>
        <stp>USDCLPV10Y BGN Curncy</stp>
        <stp>Ask</stp>
        <tr r="H20" s="1"/>
      </tp>
      <tp>
        <v>3.375</v>
        <stp/>
        <stp>BDP|1651844806425640849|22</stp>
        <stp>USDCLP10B10Y BGN Curncy</stp>
        <stp>Ask</stp>
        <tr r="P20" s="1"/>
      </tp>
      <tp>
        <v>1.1100000000000001</v>
        <stp/>
        <stp>BDP|3628619820905249488|22</stp>
        <stp>USDCLP10B18M BGN Curncy</stp>
        <stp>Bid</stp>
        <tr r="O14" s="1"/>
      </tp>
      <tp>
        <v>1.4875</v>
        <stp/>
        <stp>BDP|4733873581702264811|22</stp>
        <stp>USDCLP10B18M BGN Curncy</stp>
        <stp>Mid</stp>
        <tr r="K14" s="3"/>
      </tp>
      <tp>
        <v>6.2</v>
        <stp/>
        <stp>BDP|5311452022216391409|22</stp>
        <stp>USDCLP10R15Y BGN Curncy</stp>
        <stp>Ask</stp>
        <tr r="N21" s="1"/>
      </tp>
      <tp>
        <v>1.645</v>
        <stp/>
        <stp>BDP|5610328607413237812|22</stp>
        <stp>USDCLP25R18M BGN Curncy</stp>
        <stp>Bid</stp>
        <tr r="I14" s="1"/>
      </tp>
      <tp>
        <v>12.42</v>
        <stp/>
        <stp>BDP|1879162101721278666|22</stp>
        <stp>USDCLPV3M GFFX Curncy</stp>
        <stp>Mid</stp>
        <tr r="G9" s="4"/>
      </tp>
      <tp>
        <v>1.56</v>
        <stp/>
        <stp>BDP|3390253157320694724|22</stp>
        <stp>USDCLP10R15Y BGN Curncy</stp>
        <stp>Bid</stp>
        <tr r="M21" s="1"/>
      </tp>
      <tp>
        <v>1.78</v>
        <stp/>
        <stp>BDP|9492712852340784519|22</stp>
        <stp>USDCLP25R15Y BGN Curncy</stp>
        <stp>Mid</stp>
        <tr r="H21" s="3"/>
      </tp>
      <tp>
        <v>12.07</v>
        <stp/>
        <stp>BDP|3035217996218662976|22</stp>
        <stp>USDCLPV2W GFFX Curncy</stp>
        <stp>Mid</stp>
        <tr r="G5" s="4"/>
      </tp>
      <tp>
        <v>4.45</v>
        <stp/>
        <stp>BDP|2707781184412873605|22</stp>
        <stp>USDCLP10R10Y BGN Curncy</stp>
        <stp>Mid</stp>
        <tr r="J20" s="3"/>
      </tp>
      <tp>
        <v>12.64</v>
        <stp/>
        <stp>BDP|2145050993921061330|22</stp>
        <stp>USDCLPV3Y GFFX Curncy</stp>
        <stp>Mid</stp>
        <tr r="G16" s="4"/>
      </tp>
      <tp>
        <v>14.66</v>
        <stp/>
        <stp>BDP|685291699476934303|22</stp>
        <stp>USDCLPV5Y BGN Curncy</stp>
        <stp>Ask</stp>
        <tr r="H18" s="1"/>
      </tp>
      <tp>
        <v>11.55</v>
        <stp/>
        <stp>BDP|10164166087136759717|22</stp>
        <stp>USDCLPV15Y GFFX Curncy</stp>
        <stp>Mid</stp>
        <tr r="G21" s="4"/>
      </tp>
      <tp>
        <v>65.683000000000007</v>
        <stp/>
        <stp>BDP|946424878269246883|22</stp>
        <stp>CHEUN4Y BGN Curncy</stp>
        <stp>Mid</stp>
        <tr r="P15" s="2"/>
      </tp>
      <tp>
        <v>13.21</v>
        <stp/>
        <stp>BDP|904463779126331161|22</stp>
        <stp>USDCLPV5Y BGN Curncy</stp>
        <stp>Mid</stp>
        <tr r="G18" s="3"/>
      </tp>
      <tp>
        <v>0.42499999999999999</v>
        <stp/>
        <stp>BDP|5271672900843543913|22</stp>
        <stp>USDCLP25R15Y BGN Curncy</stp>
        <stp>Bid</stp>
        <tr r="I21" s="1"/>
      </tp>
      <tp>
        <v>1.1435999999999999</v>
        <stp/>
        <stp>BDP|11699805402992491484|22</stp>
        <stp>EUR BGN Curncy</stp>
        <stp>Mid</stp>
        <tr r="H6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</xdr:row>
      <xdr:rowOff>0</xdr:rowOff>
    </xdr:from>
    <xdr:to>
      <xdr:col>16</xdr:col>
      <xdr:colOff>172369</xdr:colOff>
      <xdr:row>55</xdr:row>
      <xdr:rowOff>19753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C4D130-A893-DB23-6A3D-14D29599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6075" y="3886200"/>
          <a:ext cx="6582694" cy="503942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27</xdr:col>
      <xdr:colOff>343663</xdr:colOff>
      <xdr:row>50</xdr:row>
      <xdr:rowOff>114904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8F5547-3C3E-B48B-77AA-F6D6A06E1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78150" y="3886200"/>
          <a:ext cx="5468113" cy="4324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26</xdr:row>
      <xdr:rowOff>0</xdr:rowOff>
    </xdr:from>
    <xdr:to>
      <xdr:col>14</xdr:col>
      <xdr:colOff>152082</xdr:colOff>
      <xdr:row>54</xdr:row>
      <xdr:rowOff>80006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F09EC9-D449-DC33-50A6-2396DB3AA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9250" y="4127500"/>
          <a:ext cx="5306165" cy="452500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22</xdr:col>
      <xdr:colOff>63200</xdr:colOff>
      <xdr:row>54</xdr:row>
      <xdr:rowOff>99059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1BA51F9-8D9B-3CA0-9652-160F700A6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6250" y="4127500"/>
          <a:ext cx="5439534" cy="45440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26</xdr:row>
      <xdr:rowOff>0</xdr:rowOff>
    </xdr:from>
    <xdr:to>
      <xdr:col>14</xdr:col>
      <xdr:colOff>152082</xdr:colOff>
      <xdr:row>54</xdr:row>
      <xdr:rowOff>80006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FAFCB-AD6B-49BE-A8C2-D6FACC534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0050"/>
          <a:ext cx="5295582" cy="461390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22</xdr:col>
      <xdr:colOff>63200</xdr:colOff>
      <xdr:row>54</xdr:row>
      <xdr:rowOff>99059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97D488-BC9F-4116-9BD5-8E31B2C18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0" y="4210050"/>
          <a:ext cx="5435300" cy="4632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0DBA-6FBC-4A3A-89CE-8FC3862A284C}">
  <dimension ref="A1:AN23"/>
  <sheetViews>
    <sheetView topLeftCell="F1" zoomScaleNormal="100" workbookViewId="0">
      <selection activeCell="G2" sqref="G2:H3"/>
    </sheetView>
  </sheetViews>
  <sheetFormatPr baseColWidth="10" defaultColWidth="9.140625" defaultRowHeight="12.75" outlineLevelCol="1" x14ac:dyDescent="0.2"/>
  <cols>
    <col min="1" max="1" width="24.5703125" hidden="1" customWidth="1" outlineLevel="1"/>
    <col min="2" max="2" width="26.7109375" hidden="1" customWidth="1" outlineLevel="1"/>
    <col min="3" max="5" width="24.5703125" hidden="1" customWidth="1" outlineLevel="1"/>
    <col min="6" max="6" width="9.28515625" style="3" customWidth="1" collapsed="1"/>
    <col min="7" max="7" width="8.5703125" customWidth="1"/>
    <col min="8" max="8" width="9" customWidth="1"/>
    <col min="9" max="9" width="6.7109375" bestFit="1" customWidth="1"/>
    <col min="10" max="10" width="7.7109375" customWidth="1"/>
    <col min="17" max="17" width="2.85546875" customWidth="1"/>
    <col min="18" max="18" width="11.140625" style="2" bestFit="1" customWidth="1"/>
    <col min="19" max="20" width="11.140625" customWidth="1"/>
    <col min="21" max="21" width="11.140625" bestFit="1" customWidth="1"/>
    <col min="22" max="23" width="10.85546875" bestFit="1" customWidth="1"/>
    <col min="24" max="25" width="11.140625" bestFit="1" customWidth="1"/>
    <col min="26" max="27" width="10.85546875" bestFit="1" customWidth="1"/>
    <col min="30" max="30" width="9.140625" style="3"/>
    <col min="36" max="36" width="4.85546875" customWidth="1"/>
  </cols>
  <sheetData>
    <row r="1" spans="1:40" x14ac:dyDescent="0.2">
      <c r="F1" s="3" t="s">
        <v>121</v>
      </c>
      <c r="G1" s="1" t="s">
        <v>0</v>
      </c>
      <c r="H1" s="1" t="s">
        <v>0</v>
      </c>
      <c r="I1" s="1" t="s">
        <v>41</v>
      </c>
      <c r="J1" s="4" t="s">
        <v>41</v>
      </c>
      <c r="K1" s="1" t="s">
        <v>42</v>
      </c>
      <c r="L1" s="4" t="s">
        <v>42</v>
      </c>
      <c r="M1" s="1" t="s">
        <v>43</v>
      </c>
      <c r="N1" s="4" t="s">
        <v>43</v>
      </c>
      <c r="O1" s="1" t="s">
        <v>44</v>
      </c>
      <c r="P1" s="4" t="s">
        <v>44</v>
      </c>
      <c r="R1" s="3" t="s">
        <v>121</v>
      </c>
      <c r="S1" s="3" t="str">
        <f>G1</f>
        <v>ATM</v>
      </c>
      <c r="T1" s="3" t="str">
        <f>H1</f>
        <v>ATM</v>
      </c>
      <c r="U1" s="4" t="s">
        <v>122</v>
      </c>
      <c r="V1" s="4" t="s">
        <v>122</v>
      </c>
      <c r="W1" s="4" t="s">
        <v>123</v>
      </c>
      <c r="X1" s="4" t="s">
        <v>123</v>
      </c>
      <c r="Y1" s="4" t="s">
        <v>124</v>
      </c>
      <c r="Z1" s="4" t="s">
        <v>124</v>
      </c>
      <c r="AA1" s="4" t="s">
        <v>125</v>
      </c>
      <c r="AB1" s="4" t="s">
        <v>125</v>
      </c>
      <c r="AD1" s="3" t="str">
        <f>+R1</f>
        <v>Term</v>
      </c>
      <c r="AE1" t="s">
        <v>0</v>
      </c>
      <c r="AF1" t="s">
        <v>122</v>
      </c>
      <c r="AG1" t="s">
        <v>123</v>
      </c>
      <c r="AH1" t="s">
        <v>124</v>
      </c>
      <c r="AI1" t="s">
        <v>125</v>
      </c>
      <c r="AK1" s="4" t="s">
        <v>127</v>
      </c>
    </row>
    <row r="2" spans="1:40" x14ac:dyDescent="0.2">
      <c r="A2" s="1" t="s">
        <v>0</v>
      </c>
      <c r="B2" s="1" t="s">
        <v>41</v>
      </c>
      <c r="C2" s="1" t="s">
        <v>42</v>
      </c>
      <c r="D2" s="1" t="s">
        <v>43</v>
      </c>
      <c r="E2" s="1" t="s">
        <v>44</v>
      </c>
      <c r="G2" s="3" t="s">
        <v>39</v>
      </c>
      <c r="H2" s="3" t="s">
        <v>40</v>
      </c>
      <c r="I2" s="3" t="s">
        <v>39</v>
      </c>
      <c r="J2" s="3" t="s">
        <v>40</v>
      </c>
      <c r="K2" s="3" t="s">
        <v>39</v>
      </c>
      <c r="L2" s="3" t="s">
        <v>40</v>
      </c>
      <c r="M2" s="3" t="s">
        <v>39</v>
      </c>
      <c r="N2" s="3" t="s">
        <v>40</v>
      </c>
      <c r="O2" s="3" t="s">
        <v>39</v>
      </c>
      <c r="P2" s="3" t="s">
        <v>40</v>
      </c>
      <c r="R2" s="3"/>
      <c r="S2" s="3" t="str">
        <f t="shared" ref="S2:S21" si="0">G2</f>
        <v>Bid</v>
      </c>
      <c r="T2" s="3" t="str">
        <f t="shared" ref="T2:T21" si="1">H2</f>
        <v>Ask</v>
      </c>
      <c r="U2" s="3" t="s">
        <v>39</v>
      </c>
      <c r="V2" s="3" t="s">
        <v>40</v>
      </c>
      <c r="W2" s="3" t="s">
        <v>39</v>
      </c>
      <c r="X2" s="3" t="s">
        <v>40</v>
      </c>
      <c r="Y2" s="3" t="s">
        <v>39</v>
      </c>
      <c r="Z2" s="3" t="s">
        <v>40</v>
      </c>
      <c r="AA2" s="3" t="s">
        <v>39</v>
      </c>
      <c r="AB2" s="3" t="s">
        <v>40</v>
      </c>
      <c r="AE2" t="s">
        <v>126</v>
      </c>
      <c r="AF2" t="s">
        <v>126</v>
      </c>
      <c r="AG2" t="s">
        <v>126</v>
      </c>
      <c r="AH2" t="s">
        <v>126</v>
      </c>
      <c r="AI2" t="s">
        <v>126</v>
      </c>
    </row>
    <row r="3" spans="1:40" x14ac:dyDescent="0.2">
      <c r="A3" s="1" t="s">
        <v>2</v>
      </c>
      <c r="B3" s="1" t="s">
        <v>45</v>
      </c>
      <c r="C3" s="1" t="s">
        <v>46</v>
      </c>
      <c r="D3" s="1" t="s">
        <v>47</v>
      </c>
      <c r="E3" s="1" t="s">
        <v>48</v>
      </c>
      <c r="F3" s="3" t="s">
        <v>1</v>
      </c>
      <c r="G3" s="8" cm="1">
        <f t="array" ref="G3">_xll.BDP($A3,G$2)</f>
        <v>13.48</v>
      </c>
      <c r="H3" s="8" cm="1">
        <f t="array" ref="H3">_xll.BDP($A3,H$2)</f>
        <v>21.06</v>
      </c>
      <c r="I3" s="9" cm="1">
        <f t="array" ref="I3">_xll.BDP($B3,I$2)</f>
        <v>-1.2649999999999999</v>
      </c>
      <c r="J3" s="9" cm="1">
        <f t="array" ref="J3">_xll.BDP($B3,J$2)</f>
        <v>4.04</v>
      </c>
      <c r="K3" s="8" cm="1">
        <f t="array" ref="K3">_xll.BDP($C3,K$2)</f>
        <v>-1.615</v>
      </c>
      <c r="L3" s="8" cm="1">
        <f t="array" ref="L3">_xll.BDP($C3,L$2)</f>
        <v>2.1749999999999998</v>
      </c>
      <c r="M3" s="9" cm="1">
        <f t="array" ref="M3">_xll.BDP($D3,M$2)</f>
        <v>-1.91</v>
      </c>
      <c r="N3" s="9" cm="1">
        <f t="array" ref="N3">_xll.BDP($D3,N$2)</f>
        <v>7.19</v>
      </c>
      <c r="O3" s="8" cm="1">
        <f t="array" ref="O3">_xll.BDP($E3,O$2)</f>
        <v>-2.08</v>
      </c>
      <c r="P3" s="8" cm="1">
        <f t="array" ref="P3">_xll.BDP($E3,P$2)</f>
        <v>3.9849999999999999</v>
      </c>
      <c r="R3" s="3" t="s">
        <v>1</v>
      </c>
      <c r="S3" s="11">
        <f t="shared" si="0"/>
        <v>13.48</v>
      </c>
      <c r="T3" s="11">
        <f t="shared" si="1"/>
        <v>21.06</v>
      </c>
      <c r="U3" s="10">
        <f t="shared" ref="U3:U21" si="2">G3+I3*0.5+K3</f>
        <v>11.2325</v>
      </c>
      <c r="V3" s="10">
        <f>H3+J3*0.5+L3</f>
        <v>25.254999999999999</v>
      </c>
      <c r="W3" s="10">
        <f>G3-I3*0.5+K3</f>
        <v>12.4975</v>
      </c>
      <c r="X3" s="10">
        <f>H3-J3*0.5+L3</f>
        <v>21.215</v>
      </c>
      <c r="Y3" s="10">
        <f>G3+M3*0.5+O3</f>
        <v>10.445</v>
      </c>
      <c r="Z3" s="10">
        <f>H3+N3*0.5+P3</f>
        <v>28.639999999999997</v>
      </c>
      <c r="AA3" s="10">
        <f>G3-M3*0.5+O3</f>
        <v>12.355</v>
      </c>
      <c r="AB3" s="10">
        <f>H3-N3*0.5+P3</f>
        <v>21.45</v>
      </c>
      <c r="AD3" s="11" t="str">
        <f>+R3</f>
        <v>1D</v>
      </c>
      <c r="AE3" s="8">
        <f>AVERAGE(S3:T3)</f>
        <v>17.27</v>
      </c>
      <c r="AF3" s="10">
        <f>AVERAGE(U3:V3)</f>
        <v>18.243749999999999</v>
      </c>
      <c r="AG3" s="10">
        <f>AVERAGE(W3:X3)</f>
        <v>16.856249999999999</v>
      </c>
      <c r="AH3" s="10">
        <f>AVERAGE(Y3:Z3)</f>
        <v>19.542499999999997</v>
      </c>
      <c r="AI3" s="10">
        <f>AVERAGE(AA3:AB3)</f>
        <v>16.9025</v>
      </c>
      <c r="AK3" s="10">
        <f>+AE3-'Mids BGN'!N3</f>
        <v>0</v>
      </c>
      <c r="AL3" s="10">
        <f>+AF3-'Mids BGN'!O3</f>
        <v>0</v>
      </c>
      <c r="AM3" s="10">
        <f>+AG3-'Mids BGN'!P3</f>
        <v>0</v>
      </c>
      <c r="AN3" s="10">
        <f>+AH3-'Mids BGN'!Q3</f>
        <v>0</v>
      </c>
    </row>
    <row r="4" spans="1:40" x14ac:dyDescent="0.2">
      <c r="A4" s="1" t="s">
        <v>4</v>
      </c>
      <c r="B4" s="1" t="s">
        <v>49</v>
      </c>
      <c r="C4" s="1" t="s">
        <v>50</v>
      </c>
      <c r="D4" s="1" t="s">
        <v>51</v>
      </c>
      <c r="E4" s="1" t="s">
        <v>52</v>
      </c>
      <c r="F4" s="3" t="s">
        <v>3</v>
      </c>
      <c r="G4" s="8" cm="1">
        <f t="array" ref="G4">_xll.BDP($A4,G$2)</f>
        <v>10.95</v>
      </c>
      <c r="H4" s="8" cm="1">
        <f t="array" ref="H4">_xll.BDP($A4,H$2)</f>
        <v>14.215</v>
      </c>
      <c r="I4" s="9" cm="1">
        <f t="array" ref="I4">_xll.BDP($B4,I$2)</f>
        <v>0.45500000000000002</v>
      </c>
      <c r="J4" s="9" cm="1">
        <f t="array" ref="J4">_xll.BDP($B4,J$2)</f>
        <v>2.7450000000000001</v>
      </c>
      <c r="K4" s="8" cm="1">
        <f t="array" ref="K4">_xll.BDP($C4,K$2)</f>
        <v>-0.51500000000000001</v>
      </c>
      <c r="L4" s="8" cm="1">
        <f t="array" ref="L4">_xll.BDP($C4,L$2)</f>
        <v>1.1200000000000001</v>
      </c>
      <c r="M4" s="9" cm="1">
        <f t="array" ref="M4">_xll.BDP($D4,M$2)</f>
        <v>1.1000000000000001</v>
      </c>
      <c r="N4" s="9" cm="1">
        <f t="array" ref="N4">_xll.BDP($D4,N$2)</f>
        <v>5.0199999999999996</v>
      </c>
      <c r="O4" s="8" cm="1">
        <f t="array" ref="O4">_xll.BDP($E4,O$2)</f>
        <v>-0.28499999999999998</v>
      </c>
      <c r="P4" s="8" cm="1">
        <f t="array" ref="P4">_xll.BDP($E4,P$2)</f>
        <v>2.33</v>
      </c>
      <c r="R4" s="3" t="s">
        <v>3</v>
      </c>
      <c r="S4" s="11">
        <f t="shared" si="0"/>
        <v>10.95</v>
      </c>
      <c r="T4" s="11">
        <f t="shared" si="1"/>
        <v>14.215</v>
      </c>
      <c r="U4" s="10">
        <f t="shared" si="2"/>
        <v>10.662499999999998</v>
      </c>
      <c r="V4" s="10">
        <f t="shared" ref="V4:V21" si="3">H4+J4*0.5+L4</f>
        <v>16.7075</v>
      </c>
      <c r="W4" s="10">
        <f t="shared" ref="W4:W21" si="4">G4-I4*0.5+K4</f>
        <v>10.2075</v>
      </c>
      <c r="X4" s="10">
        <f t="shared" ref="X4:X21" si="5">H4-J4*0.5+L4</f>
        <v>13.962499999999999</v>
      </c>
      <c r="Y4" s="10">
        <f t="shared" ref="Y4:Y21" si="6">G4+M4*0.5+O4</f>
        <v>11.215</v>
      </c>
      <c r="Z4" s="10">
        <f t="shared" ref="Z4:Z21" si="7">H4+N4*0.5+P4</f>
        <v>19.055</v>
      </c>
      <c r="AA4" s="10">
        <f t="shared" ref="AA4:AA21" si="8">G4-M4*0.5+O4</f>
        <v>10.114999999999998</v>
      </c>
      <c r="AB4" s="10">
        <f t="shared" ref="AB4:AB21" si="9">H4-N4*0.5+P4</f>
        <v>14.035</v>
      </c>
      <c r="AD4" s="11" t="str">
        <f t="shared" ref="AD4:AD21" si="10">+R4</f>
        <v>1W</v>
      </c>
      <c r="AE4" s="8">
        <f t="shared" ref="AE4:AE21" si="11">AVERAGE(S4:T4)</f>
        <v>12.5825</v>
      </c>
      <c r="AF4" s="10">
        <f t="shared" ref="AF4:AF21" si="12">AVERAGE(U4:V4)</f>
        <v>13.684999999999999</v>
      </c>
      <c r="AG4" s="10">
        <f t="shared" ref="AG4:AG21" si="13">AVERAGE(W4:X4)</f>
        <v>12.084999999999999</v>
      </c>
      <c r="AH4" s="10">
        <f t="shared" ref="AH4:AH21" si="14">AVERAGE(Y4:Z4)</f>
        <v>15.135</v>
      </c>
      <c r="AI4" s="10">
        <f t="shared" ref="AI4:AI21" si="15">AVERAGE(AA4:AB4)</f>
        <v>12.074999999999999</v>
      </c>
      <c r="AK4" s="10">
        <f>+AE4-'Mids BGN'!N4</f>
        <v>0</v>
      </c>
      <c r="AL4" s="10">
        <f>+AF4-'Mids BGN'!O4</f>
        <v>0</v>
      </c>
      <c r="AM4" s="10">
        <f>+AG4-'Mids BGN'!P4</f>
        <v>0</v>
      </c>
      <c r="AN4" s="10">
        <f>+AH4-'Mids BGN'!Q4</f>
        <v>0</v>
      </c>
    </row>
    <row r="5" spans="1:40" x14ac:dyDescent="0.2">
      <c r="A5" s="1" t="s">
        <v>6</v>
      </c>
      <c r="B5" s="1" t="s">
        <v>53</v>
      </c>
      <c r="C5" s="1" t="s">
        <v>54</v>
      </c>
      <c r="D5" s="1" t="s">
        <v>55</v>
      </c>
      <c r="E5" s="1" t="s">
        <v>56</v>
      </c>
      <c r="F5" s="3" t="s">
        <v>5</v>
      </c>
      <c r="G5" s="8" cm="1">
        <f t="array" ref="G5">_xll.BDP($A5,G$2)</f>
        <v>11.605</v>
      </c>
      <c r="H5" s="8" cm="1">
        <f t="array" ref="H5">_xll.BDP($A5,H$2)</f>
        <v>14.21</v>
      </c>
      <c r="I5" s="9" cm="1">
        <f t="array" ref="I5">_xll.BDP($B5,I$2)</f>
        <v>0.74</v>
      </c>
      <c r="J5" s="9" cm="1">
        <f t="array" ref="J5">_xll.BDP($B5,J$2)</f>
        <v>2.5649999999999999</v>
      </c>
      <c r="K5" s="8" cm="1">
        <f t="array" ref="K5">_xll.BDP($C5,K$2)</f>
        <v>-0.34</v>
      </c>
      <c r="L5" s="8" cm="1">
        <f t="array" ref="L5">_xll.BDP($C5,L$2)</f>
        <v>0.96499999999999997</v>
      </c>
      <c r="M5" s="9" cm="1">
        <f t="array" ref="M5">_xll.BDP($D5,M$2)</f>
        <v>1.605</v>
      </c>
      <c r="N5" s="9" cm="1">
        <f t="array" ref="N5">_xll.BDP($D5,N$2)</f>
        <v>4.7350000000000003</v>
      </c>
      <c r="O5" s="8" cm="1">
        <f t="array" ref="O5">_xll.BDP($E5,O$2)</f>
        <v>-1.4999999999999999E-2</v>
      </c>
      <c r="P5" s="8" cm="1">
        <f t="array" ref="P5">_xll.BDP($E5,P$2)</f>
        <v>2.0699999999999998</v>
      </c>
      <c r="R5" s="3" t="s">
        <v>5</v>
      </c>
      <c r="S5" s="11">
        <f t="shared" si="0"/>
        <v>11.605</v>
      </c>
      <c r="T5" s="11">
        <f t="shared" si="1"/>
        <v>14.21</v>
      </c>
      <c r="U5" s="10">
        <f t="shared" si="2"/>
        <v>11.635</v>
      </c>
      <c r="V5" s="10">
        <f t="shared" si="3"/>
        <v>16.457500000000003</v>
      </c>
      <c r="W5" s="10">
        <f t="shared" si="4"/>
        <v>10.895000000000001</v>
      </c>
      <c r="X5" s="10">
        <f t="shared" si="5"/>
        <v>13.8925</v>
      </c>
      <c r="Y5" s="10">
        <f t="shared" si="6"/>
        <v>12.3925</v>
      </c>
      <c r="Z5" s="10">
        <f t="shared" si="7"/>
        <v>18.647500000000001</v>
      </c>
      <c r="AA5" s="10">
        <f t="shared" si="8"/>
        <v>10.7875</v>
      </c>
      <c r="AB5" s="10">
        <f t="shared" si="9"/>
        <v>13.912500000000001</v>
      </c>
      <c r="AD5" s="11" t="str">
        <f t="shared" si="10"/>
        <v>2W</v>
      </c>
      <c r="AE5" s="8">
        <f t="shared" si="11"/>
        <v>12.907500000000001</v>
      </c>
      <c r="AF5" s="10">
        <f t="shared" si="12"/>
        <v>14.046250000000001</v>
      </c>
      <c r="AG5" s="10">
        <f t="shared" si="13"/>
        <v>12.393750000000001</v>
      </c>
      <c r="AH5" s="10">
        <f t="shared" si="14"/>
        <v>15.52</v>
      </c>
      <c r="AI5" s="10">
        <f t="shared" si="15"/>
        <v>12.350000000000001</v>
      </c>
      <c r="AK5" s="10">
        <f>+AE5-'Mids BGN'!N5</f>
        <v>0</v>
      </c>
      <c r="AL5" s="10">
        <f>+AF5-'Mids BGN'!O5</f>
        <v>0</v>
      </c>
      <c r="AM5" s="10">
        <f>+AG5-'Mids BGN'!P5</f>
        <v>0</v>
      </c>
      <c r="AN5" s="10">
        <f>+AH5-'Mids BGN'!Q5</f>
        <v>0</v>
      </c>
    </row>
    <row r="6" spans="1:40" x14ac:dyDescent="0.2">
      <c r="A6" s="1" t="s">
        <v>8</v>
      </c>
      <c r="B6" s="1" t="s">
        <v>57</v>
      </c>
      <c r="C6" s="1" t="s">
        <v>58</v>
      </c>
      <c r="D6" s="1" t="s">
        <v>59</v>
      </c>
      <c r="E6" s="1" t="s">
        <v>60</v>
      </c>
      <c r="F6" s="3" t="s">
        <v>7</v>
      </c>
      <c r="G6" s="8" cm="1">
        <f t="array" ref="G6">_xll.BDP($A6,G$2)</f>
        <v>11.89</v>
      </c>
      <c r="H6" s="8" cm="1">
        <f t="array" ref="H6">_xll.BDP($A6,H$2)</f>
        <v>14.12</v>
      </c>
      <c r="I6" s="9" cm="1">
        <f t="array" ref="I6">_xll.BDP($B6,I$2)</f>
        <v>0.94499999999999995</v>
      </c>
      <c r="J6" s="9" cm="1">
        <f t="array" ref="J6">_xll.BDP($B6,J$2)</f>
        <v>2.5049999999999999</v>
      </c>
      <c r="K6" s="8" cm="1">
        <f t="array" ref="K6">_xll.BDP($C6,K$2)</f>
        <v>-0.23</v>
      </c>
      <c r="L6" s="8" cm="1">
        <f t="array" ref="L6">_xll.BDP($C6,L$2)</f>
        <v>0.88500000000000001</v>
      </c>
      <c r="M6" s="9" cm="1">
        <f t="array" ref="M6">_xll.BDP($D6,M$2)</f>
        <v>1.97</v>
      </c>
      <c r="N6" s="9" cm="1">
        <f t="array" ref="N6">_xll.BDP($D6,N$2)</f>
        <v>4.6449999999999996</v>
      </c>
      <c r="O6" s="8" cm="1">
        <f t="array" ref="O6">_xll.BDP($E6,O$2)</f>
        <v>0.16500000000000001</v>
      </c>
      <c r="P6" s="8" cm="1">
        <f t="array" ref="P6">_xll.BDP($E6,P$2)</f>
        <v>1.95</v>
      </c>
      <c r="R6" s="3" t="s">
        <v>7</v>
      </c>
      <c r="S6" s="11">
        <f t="shared" si="0"/>
        <v>11.89</v>
      </c>
      <c r="T6" s="11">
        <f t="shared" si="1"/>
        <v>14.12</v>
      </c>
      <c r="U6" s="10">
        <f t="shared" si="2"/>
        <v>12.1325</v>
      </c>
      <c r="V6" s="10">
        <f t="shared" si="3"/>
        <v>16.2575</v>
      </c>
      <c r="W6" s="10">
        <f t="shared" si="4"/>
        <v>11.1875</v>
      </c>
      <c r="X6" s="10">
        <f t="shared" si="5"/>
        <v>13.7525</v>
      </c>
      <c r="Y6" s="10">
        <f t="shared" si="6"/>
        <v>13.04</v>
      </c>
      <c r="Z6" s="10">
        <f t="shared" si="7"/>
        <v>18.392499999999998</v>
      </c>
      <c r="AA6" s="10">
        <f t="shared" si="8"/>
        <v>11.07</v>
      </c>
      <c r="AB6" s="10">
        <f t="shared" si="9"/>
        <v>13.747499999999999</v>
      </c>
      <c r="AD6" s="11" t="str">
        <f t="shared" si="10"/>
        <v>3W</v>
      </c>
      <c r="AE6" s="8">
        <f t="shared" si="11"/>
        <v>13.004999999999999</v>
      </c>
      <c r="AF6" s="10">
        <f t="shared" si="12"/>
        <v>14.195</v>
      </c>
      <c r="AG6" s="10">
        <f t="shared" si="13"/>
        <v>12.469999999999999</v>
      </c>
      <c r="AH6" s="10">
        <f t="shared" si="14"/>
        <v>15.716249999999999</v>
      </c>
      <c r="AI6" s="10">
        <f t="shared" si="15"/>
        <v>12.40875</v>
      </c>
      <c r="AK6" s="10">
        <f>+AE6-'Mids BGN'!N6</f>
        <v>0</v>
      </c>
      <c r="AL6" s="10">
        <f>+AF6-'Mids BGN'!O6</f>
        <v>0</v>
      </c>
      <c r="AM6" s="10">
        <f>+AG6-'Mids BGN'!P6</f>
        <v>0</v>
      </c>
      <c r="AN6" s="10">
        <f>+AH6-'Mids BGN'!Q6</f>
        <v>0</v>
      </c>
    </row>
    <row r="7" spans="1:40" x14ac:dyDescent="0.2">
      <c r="A7" s="1" t="s">
        <v>10</v>
      </c>
      <c r="B7" s="1" t="s">
        <v>61</v>
      </c>
      <c r="C7" s="1" t="s">
        <v>62</v>
      </c>
      <c r="D7" s="1" t="s">
        <v>63</v>
      </c>
      <c r="E7" s="1" t="s">
        <v>64</v>
      </c>
      <c r="F7" s="3" t="s">
        <v>9</v>
      </c>
      <c r="G7" s="8" cm="1">
        <f t="array" ref="G7">_xll.BDP($A7,G$2)</f>
        <v>12.27</v>
      </c>
      <c r="H7" s="8" cm="1">
        <f t="array" ref="H7">_xll.BDP($A7,H$2)</f>
        <v>13.76</v>
      </c>
      <c r="I7" s="9" cm="1">
        <f t="array" ref="I7">_xll.BDP($B7,I$2)</f>
        <v>1.26</v>
      </c>
      <c r="J7" s="9" cm="1">
        <f t="array" ref="J7">_xll.BDP($B7,J$2)</f>
        <v>2.3050000000000002</v>
      </c>
      <c r="K7" s="8" cm="1">
        <f t="array" ref="K7">_xll.BDP($C7,K$2)</f>
        <v>-0.03</v>
      </c>
      <c r="L7" s="8" cm="1">
        <f t="array" ref="L7">_xll.BDP($C7,L$2)</f>
        <v>0.71499999999999997</v>
      </c>
      <c r="M7" s="9" cm="1">
        <f t="array" ref="M7">_xll.BDP($D7,M$2)</f>
        <v>2.5299999999999998</v>
      </c>
      <c r="N7" s="9" cm="1">
        <f t="array" ref="N7">_xll.BDP($D7,N$2)</f>
        <v>4.32</v>
      </c>
      <c r="O7" s="8" cm="1">
        <f t="array" ref="O7">_xll.BDP($E7,O$2)</f>
        <v>0.48499999999999999</v>
      </c>
      <c r="P7" s="8" cm="1">
        <f t="array" ref="P7">_xll.BDP($E7,P$2)</f>
        <v>1.68</v>
      </c>
      <c r="R7" s="3" t="s">
        <v>9</v>
      </c>
      <c r="S7" s="11">
        <f t="shared" si="0"/>
        <v>12.27</v>
      </c>
      <c r="T7" s="11">
        <f t="shared" si="1"/>
        <v>13.76</v>
      </c>
      <c r="U7" s="10">
        <f t="shared" si="2"/>
        <v>12.870000000000001</v>
      </c>
      <c r="V7" s="10">
        <f t="shared" si="3"/>
        <v>15.6275</v>
      </c>
      <c r="W7" s="10">
        <f t="shared" si="4"/>
        <v>11.61</v>
      </c>
      <c r="X7" s="10">
        <f t="shared" si="5"/>
        <v>13.3225</v>
      </c>
      <c r="Y7" s="10">
        <f t="shared" si="6"/>
        <v>14.02</v>
      </c>
      <c r="Z7" s="10">
        <f t="shared" si="7"/>
        <v>17.600000000000001</v>
      </c>
      <c r="AA7" s="10">
        <f t="shared" si="8"/>
        <v>11.489999999999998</v>
      </c>
      <c r="AB7" s="10">
        <f t="shared" si="9"/>
        <v>13.28</v>
      </c>
      <c r="AD7" s="11" t="str">
        <f t="shared" si="10"/>
        <v>1M</v>
      </c>
      <c r="AE7" s="8">
        <f t="shared" si="11"/>
        <v>13.015000000000001</v>
      </c>
      <c r="AF7" s="10">
        <f t="shared" si="12"/>
        <v>14.248750000000001</v>
      </c>
      <c r="AG7" s="10">
        <f t="shared" si="13"/>
        <v>12.466249999999999</v>
      </c>
      <c r="AH7" s="10">
        <f t="shared" si="14"/>
        <v>15.81</v>
      </c>
      <c r="AI7" s="10">
        <f t="shared" si="15"/>
        <v>12.384999999999998</v>
      </c>
      <c r="AK7" s="10">
        <f>+AE7-'Mids BGN'!N7</f>
        <v>5.0000000000007816E-3</v>
      </c>
      <c r="AL7" s="10">
        <f>+AF7-'Mids BGN'!O7</f>
        <v>5.000000000002558E-3</v>
      </c>
      <c r="AM7" s="10">
        <f>+AG7-'Mids BGN'!P7</f>
        <v>4.9999999999990052E-3</v>
      </c>
      <c r="AN7" s="10">
        <f>+AH7-'Mids BGN'!Q7</f>
        <v>5.0000000000007816E-3</v>
      </c>
    </row>
    <row r="8" spans="1:40" x14ac:dyDescent="0.2">
      <c r="A8" s="1" t="s">
        <v>12</v>
      </c>
      <c r="B8" s="1" t="s">
        <v>65</v>
      </c>
      <c r="C8" s="1" t="s">
        <v>66</v>
      </c>
      <c r="D8" s="1" t="s">
        <v>67</v>
      </c>
      <c r="E8" s="1" t="s">
        <v>68</v>
      </c>
      <c r="F8" s="3" t="s">
        <v>11</v>
      </c>
      <c r="G8" s="8" cm="1">
        <f t="array" ref="G8">_xll.BDP($A8,G$2)</f>
        <v>12.14</v>
      </c>
      <c r="H8" s="8" cm="1">
        <f t="array" ref="H8">_xll.BDP($A8,H$2)</f>
        <v>13.63</v>
      </c>
      <c r="I8" s="9" cm="1">
        <f t="array" ref="I8">_xll.BDP($B8,I$2)</f>
        <v>1.3049999999999999</v>
      </c>
      <c r="J8" s="9" cm="1">
        <f t="array" ref="J8">_xll.BDP($B8,J$2)</f>
        <v>2.355</v>
      </c>
      <c r="K8" s="8" cm="1">
        <f t="array" ref="K8">_xll.BDP($C8,K$2)</f>
        <v>-1.4999999999999999E-2</v>
      </c>
      <c r="L8" s="8" cm="1">
        <f t="array" ref="L8">_xll.BDP($C8,L$2)</f>
        <v>0.73499999999999999</v>
      </c>
      <c r="M8" s="9" cm="1">
        <f t="array" ref="M8">_xll.BDP($D8,M$2)</f>
        <v>2.6349999999999998</v>
      </c>
      <c r="N8" s="9" cm="1">
        <f t="array" ref="N8">_xll.BDP($D8,N$2)</f>
        <v>4.4349999999999996</v>
      </c>
      <c r="O8" s="8" cm="1">
        <f t="array" ref="O8">_xll.BDP($E8,O$2)</f>
        <v>0.5</v>
      </c>
      <c r="P8" s="8" cm="1">
        <f t="array" ref="P8">_xll.BDP($E8,P$2)</f>
        <v>1.7</v>
      </c>
      <c r="R8" s="3" t="s">
        <v>11</v>
      </c>
      <c r="S8" s="11">
        <f t="shared" si="0"/>
        <v>12.14</v>
      </c>
      <c r="T8" s="11">
        <f t="shared" si="1"/>
        <v>13.63</v>
      </c>
      <c r="U8" s="10">
        <f t="shared" si="2"/>
        <v>12.7775</v>
      </c>
      <c r="V8" s="10">
        <f t="shared" si="3"/>
        <v>15.5425</v>
      </c>
      <c r="W8" s="10">
        <f t="shared" si="4"/>
        <v>11.4725</v>
      </c>
      <c r="X8" s="10">
        <f t="shared" si="5"/>
        <v>13.1875</v>
      </c>
      <c r="Y8" s="10">
        <f t="shared" si="6"/>
        <v>13.9575</v>
      </c>
      <c r="Z8" s="10">
        <f t="shared" si="7"/>
        <v>17.547499999999999</v>
      </c>
      <c r="AA8" s="10">
        <f t="shared" si="8"/>
        <v>11.322500000000002</v>
      </c>
      <c r="AB8" s="10">
        <f t="shared" si="9"/>
        <v>13.112500000000001</v>
      </c>
      <c r="AD8" s="11" t="str">
        <f t="shared" si="10"/>
        <v>2M</v>
      </c>
      <c r="AE8" s="8">
        <f t="shared" si="11"/>
        <v>12.885000000000002</v>
      </c>
      <c r="AF8" s="10">
        <f t="shared" si="12"/>
        <v>14.16</v>
      </c>
      <c r="AG8" s="10">
        <f t="shared" si="13"/>
        <v>12.33</v>
      </c>
      <c r="AH8" s="10">
        <f t="shared" si="14"/>
        <v>15.7525</v>
      </c>
      <c r="AI8" s="10">
        <f t="shared" si="15"/>
        <v>12.217500000000001</v>
      </c>
      <c r="AK8" s="10">
        <f>+AE8-'Mids BGN'!N8</f>
        <v>5.0000000000007816E-3</v>
      </c>
      <c r="AL8" s="10">
        <f>+AF8-'Mids BGN'!O8</f>
        <v>4.9999999999990052E-3</v>
      </c>
      <c r="AM8" s="10">
        <f>+AG8-'Mids BGN'!P8</f>
        <v>5.0000000000007816E-3</v>
      </c>
      <c r="AN8" s="10">
        <f>+AH8-'Mids BGN'!Q8</f>
        <v>4.9999999999990052E-3</v>
      </c>
    </row>
    <row r="9" spans="1:40" x14ac:dyDescent="0.2">
      <c r="A9" s="1" t="s">
        <v>14</v>
      </c>
      <c r="B9" s="1" t="s">
        <v>69</v>
      </c>
      <c r="C9" s="1" t="s">
        <v>70</v>
      </c>
      <c r="D9" s="1" t="s">
        <v>71</v>
      </c>
      <c r="E9" s="1" t="s">
        <v>72</v>
      </c>
      <c r="F9" s="3" t="s">
        <v>13</v>
      </c>
      <c r="G9" s="8" cm="1">
        <f t="array" ref="G9">_xll.BDP($A9,G$2)</f>
        <v>12.24</v>
      </c>
      <c r="H9" s="8" cm="1">
        <f t="array" ref="H9">_xll.BDP($A9,H$2)</f>
        <v>13.24</v>
      </c>
      <c r="I9" s="9" cm="1">
        <f t="array" ref="I9">_xll.BDP($B9,I$2)</f>
        <v>1.5249999999999999</v>
      </c>
      <c r="J9" s="9" cm="1">
        <f t="array" ref="J9">_xll.BDP($B9,J$2)</f>
        <v>2.23</v>
      </c>
      <c r="K9" s="8" cm="1">
        <f t="array" ref="K9">_xll.BDP($C9,K$2)</f>
        <v>0.13500000000000001</v>
      </c>
      <c r="L9" s="8" cm="1">
        <f t="array" ref="L9">_xll.BDP($C9,L$2)</f>
        <v>0.63500000000000001</v>
      </c>
      <c r="M9" s="9" cm="1">
        <f t="array" ref="M9">_xll.BDP($D9,M$2)</f>
        <v>3.0449999999999999</v>
      </c>
      <c r="N9" s="9" cm="1">
        <f t="array" ref="N9">_xll.BDP($D9,N$2)</f>
        <v>4.25</v>
      </c>
      <c r="O9" s="8" cm="1">
        <f t="array" ref="O9">_xll.BDP($E9,O$2)</f>
        <v>0.75</v>
      </c>
      <c r="P9" s="8" cm="1">
        <f t="array" ref="P9">_xll.BDP($E9,P$2)</f>
        <v>1.55</v>
      </c>
      <c r="R9" s="3" t="s">
        <v>13</v>
      </c>
      <c r="S9" s="11">
        <f t="shared" si="0"/>
        <v>12.24</v>
      </c>
      <c r="T9" s="11">
        <f t="shared" si="1"/>
        <v>13.24</v>
      </c>
      <c r="U9" s="10">
        <f t="shared" si="2"/>
        <v>13.137499999999999</v>
      </c>
      <c r="V9" s="10">
        <f t="shared" si="3"/>
        <v>14.99</v>
      </c>
      <c r="W9" s="10">
        <f t="shared" si="4"/>
        <v>11.612500000000001</v>
      </c>
      <c r="X9" s="10">
        <f t="shared" si="5"/>
        <v>12.76</v>
      </c>
      <c r="Y9" s="10">
        <f t="shared" si="6"/>
        <v>14.512499999999999</v>
      </c>
      <c r="Z9" s="10">
        <f t="shared" si="7"/>
        <v>16.914999999999999</v>
      </c>
      <c r="AA9" s="10">
        <f t="shared" si="8"/>
        <v>11.467500000000001</v>
      </c>
      <c r="AB9" s="10">
        <f t="shared" si="9"/>
        <v>12.665000000000001</v>
      </c>
      <c r="AD9" s="11" t="str">
        <f t="shared" si="10"/>
        <v>3M</v>
      </c>
      <c r="AE9" s="8">
        <f t="shared" si="11"/>
        <v>12.74</v>
      </c>
      <c r="AF9" s="10">
        <f t="shared" si="12"/>
        <v>14.063749999999999</v>
      </c>
      <c r="AG9" s="10">
        <f t="shared" si="13"/>
        <v>12.186250000000001</v>
      </c>
      <c r="AH9" s="10">
        <f t="shared" si="14"/>
        <v>15.713749999999999</v>
      </c>
      <c r="AI9" s="10">
        <f t="shared" si="15"/>
        <v>12.06625</v>
      </c>
      <c r="AK9" s="10">
        <f>+AE9-'Mids BGN'!N9</f>
        <v>0</v>
      </c>
      <c r="AL9" s="10">
        <f>+AF9-'Mids BGN'!O9</f>
        <v>0</v>
      </c>
      <c r="AM9" s="10">
        <f>+AG9-'Mids BGN'!P9</f>
        <v>0</v>
      </c>
      <c r="AN9" s="10">
        <f>+AH9-'Mids BGN'!Q9</f>
        <v>0</v>
      </c>
    </row>
    <row r="10" spans="1:40" x14ac:dyDescent="0.2">
      <c r="A10" s="1" t="s">
        <v>16</v>
      </c>
      <c r="B10" s="1" t="s">
        <v>73</v>
      </c>
      <c r="C10" s="1" t="s">
        <v>74</v>
      </c>
      <c r="D10" s="1" t="s">
        <v>75</v>
      </c>
      <c r="E10" s="1" t="s">
        <v>76</v>
      </c>
      <c r="F10" s="3" t="s">
        <v>15</v>
      </c>
      <c r="G10" s="8" cm="1">
        <f t="array" ref="G10">_xll.BDP($A10,G$2)</f>
        <v>12.09</v>
      </c>
      <c r="H10" s="8" cm="1">
        <f t="array" ref="H10">_xll.BDP($A10,H$2)</f>
        <v>13.074999999999999</v>
      </c>
      <c r="I10" s="9" cm="1">
        <f t="array" ref="I10">_xll.BDP($B10,I$2)</f>
        <v>1.5649999999999999</v>
      </c>
      <c r="J10" s="9" cm="1">
        <f t="array" ref="J10">_xll.BDP($B10,J$2)</f>
        <v>2.2549999999999999</v>
      </c>
      <c r="K10" s="8" cm="1">
        <f t="array" ref="K10">_xll.BDP($C10,K$2)</f>
        <v>0.16</v>
      </c>
      <c r="L10" s="8" cm="1">
        <f t="array" ref="L10">_xll.BDP($C10,L$2)</f>
        <v>0.65500000000000003</v>
      </c>
      <c r="M10" s="9" cm="1">
        <f t="array" ref="M10">_xll.BDP($D10,M$2)</f>
        <v>3.1349999999999998</v>
      </c>
      <c r="N10" s="9" cm="1">
        <f t="array" ref="N10">_xll.BDP($D10,N$2)</f>
        <v>4.32</v>
      </c>
      <c r="O10" s="8" cm="1">
        <f t="array" ref="O10">_xll.BDP($E10,O$2)</f>
        <v>0.80500000000000005</v>
      </c>
      <c r="P10" s="8" cm="1">
        <f t="array" ref="P10">_xll.BDP($E10,P$2)</f>
        <v>1.595</v>
      </c>
      <c r="R10" s="3" t="s">
        <v>15</v>
      </c>
      <c r="S10" s="11">
        <f t="shared" si="0"/>
        <v>12.09</v>
      </c>
      <c r="T10" s="11">
        <f t="shared" si="1"/>
        <v>13.074999999999999</v>
      </c>
      <c r="U10" s="10">
        <f t="shared" si="2"/>
        <v>13.032500000000001</v>
      </c>
      <c r="V10" s="10">
        <f t="shared" si="3"/>
        <v>14.857499999999998</v>
      </c>
      <c r="W10" s="10">
        <f t="shared" si="4"/>
        <v>11.467499999999999</v>
      </c>
      <c r="X10" s="10">
        <f t="shared" si="5"/>
        <v>12.602499999999999</v>
      </c>
      <c r="Y10" s="10">
        <f t="shared" si="6"/>
        <v>14.462499999999999</v>
      </c>
      <c r="Z10" s="10">
        <f t="shared" si="7"/>
        <v>16.829999999999998</v>
      </c>
      <c r="AA10" s="10">
        <f t="shared" si="8"/>
        <v>11.327500000000001</v>
      </c>
      <c r="AB10" s="10">
        <f t="shared" si="9"/>
        <v>12.51</v>
      </c>
      <c r="AD10" s="11" t="str">
        <f t="shared" si="10"/>
        <v>4M</v>
      </c>
      <c r="AE10" s="8">
        <f t="shared" si="11"/>
        <v>12.5825</v>
      </c>
      <c r="AF10" s="10">
        <f t="shared" si="12"/>
        <v>13.945</v>
      </c>
      <c r="AG10" s="10">
        <f t="shared" si="13"/>
        <v>12.035</v>
      </c>
      <c r="AH10" s="10">
        <f t="shared" si="14"/>
        <v>15.646249999999998</v>
      </c>
      <c r="AI10" s="10">
        <f t="shared" si="15"/>
        <v>11.918749999999999</v>
      </c>
      <c r="AK10" s="10">
        <f>+AE10-'Mids BGN'!N10</f>
        <v>0</v>
      </c>
      <c r="AL10" s="10">
        <f>+AF10-'Mids BGN'!O10</f>
        <v>0</v>
      </c>
      <c r="AM10" s="10">
        <f>+AG10-'Mids BGN'!P10</f>
        <v>0</v>
      </c>
      <c r="AN10" s="10">
        <f>+AH10-'Mids BGN'!Q10</f>
        <v>0</v>
      </c>
    </row>
    <row r="11" spans="1:40" x14ac:dyDescent="0.2">
      <c r="A11" s="1" t="s">
        <v>18</v>
      </c>
      <c r="B11" s="1" t="s">
        <v>77</v>
      </c>
      <c r="C11" s="1" t="s">
        <v>78</v>
      </c>
      <c r="D11" s="1" t="s">
        <v>79</v>
      </c>
      <c r="E11" s="1" t="s">
        <v>80</v>
      </c>
      <c r="F11" s="3" t="s">
        <v>17</v>
      </c>
      <c r="G11" s="8" cm="1">
        <f t="array" ref="G11">_xll.BDP($A11,G$2)</f>
        <v>11.95</v>
      </c>
      <c r="H11" s="8" cm="1">
        <f t="array" ref="H11">_xll.BDP($A11,H$2)</f>
        <v>12.94</v>
      </c>
      <c r="I11" s="9" cm="1">
        <f t="array" ref="I11">_xll.BDP($B11,I$2)</f>
        <v>1.59</v>
      </c>
      <c r="J11" s="9" cm="1">
        <f t="array" ref="J11">_xll.BDP($B11,J$2)</f>
        <v>2.2850000000000001</v>
      </c>
      <c r="K11" s="8" cm="1">
        <f t="array" ref="K11">_xll.BDP($C11,K$2)</f>
        <v>0.185</v>
      </c>
      <c r="L11" s="8" cm="1">
        <f t="array" ref="L11">_xll.BDP($C11,L$2)</f>
        <v>0.68</v>
      </c>
      <c r="M11" s="9" cm="1">
        <f t="array" ref="M11">_xll.BDP($D11,M$2)</f>
        <v>3.21</v>
      </c>
      <c r="N11" s="9" cm="1">
        <f t="array" ref="N11">_xll.BDP($D11,N$2)</f>
        <v>4.4000000000000004</v>
      </c>
      <c r="O11" s="8" cm="1">
        <f t="array" ref="O11">_xll.BDP($E11,O$2)</f>
        <v>0.86</v>
      </c>
      <c r="P11" s="8" cm="1">
        <f t="array" ref="P11">_xll.BDP($E11,P$2)</f>
        <v>1.655</v>
      </c>
      <c r="R11" s="3" t="s">
        <v>17</v>
      </c>
      <c r="S11" s="11">
        <f t="shared" si="0"/>
        <v>11.95</v>
      </c>
      <c r="T11" s="11">
        <f t="shared" si="1"/>
        <v>12.94</v>
      </c>
      <c r="U11" s="10">
        <f t="shared" si="2"/>
        <v>12.93</v>
      </c>
      <c r="V11" s="10">
        <f t="shared" si="3"/>
        <v>14.762499999999999</v>
      </c>
      <c r="W11" s="10">
        <f t="shared" si="4"/>
        <v>11.34</v>
      </c>
      <c r="X11" s="10">
        <f t="shared" si="5"/>
        <v>12.477499999999999</v>
      </c>
      <c r="Y11" s="10">
        <f t="shared" si="6"/>
        <v>14.414999999999999</v>
      </c>
      <c r="Z11" s="10">
        <f t="shared" si="7"/>
        <v>16.795000000000002</v>
      </c>
      <c r="AA11" s="10">
        <f t="shared" si="8"/>
        <v>11.204999999999998</v>
      </c>
      <c r="AB11" s="10">
        <f t="shared" si="9"/>
        <v>12.394999999999998</v>
      </c>
      <c r="AD11" s="11" t="str">
        <f t="shared" si="10"/>
        <v>6M</v>
      </c>
      <c r="AE11" s="8">
        <f t="shared" si="11"/>
        <v>12.445</v>
      </c>
      <c r="AF11" s="10">
        <f t="shared" si="12"/>
        <v>13.84625</v>
      </c>
      <c r="AG11" s="10">
        <f t="shared" si="13"/>
        <v>11.90875</v>
      </c>
      <c r="AH11" s="10">
        <f t="shared" si="14"/>
        <v>15.605</v>
      </c>
      <c r="AI11" s="10">
        <f t="shared" si="15"/>
        <v>11.799999999999997</v>
      </c>
      <c r="AK11" s="10">
        <f>+AE11-'Mids BGN'!N11</f>
        <v>-4.9999999999990052E-3</v>
      </c>
      <c r="AL11" s="10">
        <f>+AF11-'Mids BGN'!O11</f>
        <v>-4.9999999999990052E-3</v>
      </c>
      <c r="AM11" s="10">
        <f>+AG11-'Mids BGN'!P11</f>
        <v>-4.9999999999990052E-3</v>
      </c>
      <c r="AN11" s="10">
        <f>+AH11-'Mids BGN'!Q11</f>
        <v>-4.9999999999990052E-3</v>
      </c>
    </row>
    <row r="12" spans="1:40" x14ac:dyDescent="0.2">
      <c r="A12" s="1" t="s">
        <v>20</v>
      </c>
      <c r="B12" s="1" t="s">
        <v>81</v>
      </c>
      <c r="C12" s="1" t="s">
        <v>82</v>
      </c>
      <c r="D12" s="1" t="s">
        <v>83</v>
      </c>
      <c r="E12" s="1" t="s">
        <v>84</v>
      </c>
      <c r="F12" s="3" t="s">
        <v>19</v>
      </c>
      <c r="G12" s="8" cm="1">
        <f t="array" ref="G12">_xll.BDP($A12,G$2)</f>
        <v>11.99</v>
      </c>
      <c r="H12" s="8" cm="1">
        <f t="array" ref="H12">_xll.BDP($A12,H$2)</f>
        <v>12.87</v>
      </c>
      <c r="I12" s="9" cm="1">
        <f t="array" ref="I12">_xll.BDP($B12,I$2)</f>
        <v>1.655</v>
      </c>
      <c r="J12" s="9" cm="1">
        <f t="array" ref="J12">_xll.BDP($B12,J$2)</f>
        <v>2.2650000000000001</v>
      </c>
      <c r="K12" s="8" cm="1">
        <f t="array" ref="K12">_xll.BDP($C12,K$2)</f>
        <v>0.245</v>
      </c>
      <c r="L12" s="8" cm="1">
        <f t="array" ref="L12">_xll.BDP($C12,L$2)</f>
        <v>0.68500000000000005</v>
      </c>
      <c r="M12" s="9" cm="1">
        <f t="array" ref="M12">_xll.BDP($D12,M$2)</f>
        <v>3.355</v>
      </c>
      <c r="N12" s="9" cm="1">
        <f t="array" ref="N12">_xll.BDP($D12,N$2)</f>
        <v>4.4050000000000002</v>
      </c>
      <c r="O12" s="8" cm="1">
        <f t="array" ref="O12">_xll.BDP($E12,O$2)</f>
        <v>0.96</v>
      </c>
      <c r="P12" s="8" cm="1">
        <f t="array" ref="P12">_xll.BDP($E12,P$2)</f>
        <v>1.66</v>
      </c>
      <c r="R12" s="3" t="s">
        <v>19</v>
      </c>
      <c r="S12" s="11">
        <f t="shared" si="0"/>
        <v>11.99</v>
      </c>
      <c r="T12" s="11">
        <f t="shared" si="1"/>
        <v>12.87</v>
      </c>
      <c r="U12" s="10">
        <f t="shared" si="2"/>
        <v>13.0625</v>
      </c>
      <c r="V12" s="10">
        <f t="shared" si="3"/>
        <v>14.6875</v>
      </c>
      <c r="W12" s="10">
        <f t="shared" si="4"/>
        <v>11.407499999999999</v>
      </c>
      <c r="X12" s="10">
        <f t="shared" si="5"/>
        <v>12.422499999999999</v>
      </c>
      <c r="Y12" s="10">
        <f t="shared" si="6"/>
        <v>14.627500000000001</v>
      </c>
      <c r="Z12" s="10">
        <f t="shared" si="7"/>
        <v>16.732499999999998</v>
      </c>
      <c r="AA12" s="10">
        <f t="shared" si="8"/>
        <v>11.272500000000001</v>
      </c>
      <c r="AB12" s="10">
        <f t="shared" si="9"/>
        <v>12.327499999999999</v>
      </c>
      <c r="AD12" s="11" t="str">
        <f t="shared" si="10"/>
        <v>9M</v>
      </c>
      <c r="AE12" s="8">
        <f t="shared" si="11"/>
        <v>12.43</v>
      </c>
      <c r="AF12" s="10">
        <f t="shared" si="12"/>
        <v>13.875</v>
      </c>
      <c r="AG12" s="10">
        <f t="shared" si="13"/>
        <v>11.914999999999999</v>
      </c>
      <c r="AH12" s="10">
        <f t="shared" si="14"/>
        <v>15.68</v>
      </c>
      <c r="AI12" s="10">
        <f t="shared" si="15"/>
        <v>11.8</v>
      </c>
      <c r="AK12" s="10">
        <f>+AE12-'Mids BGN'!N12</f>
        <v>0</v>
      </c>
      <c r="AL12" s="10">
        <f>+AF12-'Mids BGN'!O12</f>
        <v>0</v>
      </c>
      <c r="AM12" s="10">
        <f>+AG12-'Mids BGN'!P12</f>
        <v>0</v>
      </c>
      <c r="AN12" s="10">
        <f>+AH12-'Mids BGN'!Q12</f>
        <v>0</v>
      </c>
    </row>
    <row r="13" spans="1:40" x14ac:dyDescent="0.2">
      <c r="A13" s="1" t="s">
        <v>22</v>
      </c>
      <c r="B13" s="1" t="s">
        <v>85</v>
      </c>
      <c r="C13" s="1" t="s">
        <v>86</v>
      </c>
      <c r="D13" s="1" t="s">
        <v>87</v>
      </c>
      <c r="E13" s="1" t="s">
        <v>88</v>
      </c>
      <c r="F13" s="3" t="s">
        <v>21</v>
      </c>
      <c r="G13" s="8" cm="1">
        <f t="array" ref="G13">_xll.BDP($A13,G$2)</f>
        <v>11.92</v>
      </c>
      <c r="H13" s="8" cm="1">
        <f t="array" ref="H13">_xll.BDP($A13,H$2)</f>
        <v>12.79</v>
      </c>
      <c r="I13" s="9" cm="1">
        <f t="array" ref="I13">_xll.BDP($B13,I$2)</f>
        <v>1.66</v>
      </c>
      <c r="J13" s="9" cm="1">
        <f t="array" ref="J13">_xll.BDP($B13,J$2)</f>
        <v>2.2749999999999999</v>
      </c>
      <c r="K13" s="8" cm="1">
        <f t="array" ref="K13">_xll.BDP($C13,K$2)</f>
        <v>0.27</v>
      </c>
      <c r="L13" s="8" cm="1">
        <f t="array" ref="L13">_xll.BDP($C13,L$2)</f>
        <v>0.71</v>
      </c>
      <c r="M13" s="9" cm="1">
        <f t="array" ref="M13">_xll.BDP($D13,M$2)</f>
        <v>3.42</v>
      </c>
      <c r="N13" s="9" cm="1">
        <f t="array" ref="N13">_xll.BDP($D13,N$2)</f>
        <v>4.47</v>
      </c>
      <c r="O13" s="8" cm="1">
        <f t="array" ref="O13">_xll.BDP($E13,O$2)</f>
        <v>1.01</v>
      </c>
      <c r="P13" s="8" cm="1">
        <f t="array" ref="P13">_xll.BDP($E13,P$2)</f>
        <v>1.71</v>
      </c>
      <c r="R13" s="3" t="s">
        <v>21</v>
      </c>
      <c r="S13" s="11">
        <f t="shared" si="0"/>
        <v>11.92</v>
      </c>
      <c r="T13" s="11">
        <f t="shared" si="1"/>
        <v>12.79</v>
      </c>
      <c r="U13" s="10">
        <f t="shared" si="2"/>
        <v>13.02</v>
      </c>
      <c r="V13" s="10">
        <f t="shared" si="3"/>
        <v>14.637499999999999</v>
      </c>
      <c r="W13" s="10">
        <f t="shared" si="4"/>
        <v>11.36</v>
      </c>
      <c r="X13" s="10">
        <f t="shared" si="5"/>
        <v>12.362500000000001</v>
      </c>
      <c r="Y13" s="10">
        <f t="shared" si="6"/>
        <v>14.639999999999999</v>
      </c>
      <c r="Z13" s="10">
        <f t="shared" si="7"/>
        <v>16.734999999999999</v>
      </c>
      <c r="AA13" s="10">
        <f t="shared" si="8"/>
        <v>11.22</v>
      </c>
      <c r="AB13" s="10">
        <f t="shared" si="9"/>
        <v>12.265000000000001</v>
      </c>
      <c r="AD13" s="11" t="str">
        <f t="shared" si="10"/>
        <v>1Y</v>
      </c>
      <c r="AE13" s="8">
        <f t="shared" si="11"/>
        <v>12.355</v>
      </c>
      <c r="AF13" s="10">
        <f t="shared" si="12"/>
        <v>13.828749999999999</v>
      </c>
      <c r="AG13" s="10">
        <f t="shared" si="13"/>
        <v>11.86125</v>
      </c>
      <c r="AH13" s="10">
        <f t="shared" si="14"/>
        <v>15.6875</v>
      </c>
      <c r="AI13" s="10">
        <f t="shared" si="15"/>
        <v>11.7425</v>
      </c>
      <c r="AK13" s="10">
        <f>+AE13-'Mids BGN'!N13</f>
        <v>-4.9999999999990052E-3</v>
      </c>
      <c r="AL13" s="10">
        <f>+AF13-'Mids BGN'!O13</f>
        <v>-5.0000000000007816E-3</v>
      </c>
      <c r="AM13" s="10">
        <f>+AG13-'Mids BGN'!P13</f>
        <v>-4.9999999999990052E-3</v>
      </c>
      <c r="AN13" s="10">
        <f>+AH13-'Mids BGN'!Q13</f>
        <v>-4.9999999999990052E-3</v>
      </c>
    </row>
    <row r="14" spans="1:40" x14ac:dyDescent="0.2">
      <c r="A14" s="1" t="s">
        <v>24</v>
      </c>
      <c r="B14" s="1" t="s">
        <v>89</v>
      </c>
      <c r="C14" s="1" t="s">
        <v>90</v>
      </c>
      <c r="D14" s="1" t="s">
        <v>91</v>
      </c>
      <c r="E14" s="1" t="s">
        <v>92</v>
      </c>
      <c r="F14" s="3" t="s">
        <v>23</v>
      </c>
      <c r="G14" s="8" cm="1">
        <f t="array" ref="G14">_xll.BDP($A14,G$2)</f>
        <v>12.13</v>
      </c>
      <c r="H14" s="8" cm="1">
        <f t="array" ref="H14">_xll.BDP($A14,H$2)</f>
        <v>13.07</v>
      </c>
      <c r="I14" s="9" cm="1">
        <f t="array" ref="I14">_xll.BDP($B14,I$2)</f>
        <v>1.645</v>
      </c>
      <c r="J14" s="9" cm="1">
        <f t="array" ref="J14">_xll.BDP($B14,J$2)</f>
        <v>2.3050000000000002</v>
      </c>
      <c r="K14" s="8" cm="1">
        <f t="array" ref="K14">_xll.BDP($C14,K$2)</f>
        <v>0.32</v>
      </c>
      <c r="L14" s="8" cm="1">
        <f t="array" ref="L14">_xll.BDP($C14,L$2)</f>
        <v>0.79500000000000004</v>
      </c>
      <c r="M14" s="9" cm="1">
        <f t="array" ref="M14">_xll.BDP($D14,M$2)</f>
        <v>3.38</v>
      </c>
      <c r="N14" s="9" cm="1">
        <f t="array" ref="N14">_xll.BDP($D14,N$2)</f>
        <v>4.5199999999999996</v>
      </c>
      <c r="O14" s="8" cm="1">
        <f t="array" ref="O14">_xll.BDP($E14,O$2)</f>
        <v>1.1100000000000001</v>
      </c>
      <c r="P14" s="8" cm="1">
        <f t="array" ref="P14">_xll.BDP($E14,P$2)</f>
        <v>1.865</v>
      </c>
      <c r="R14" s="3" t="s">
        <v>23</v>
      </c>
      <c r="S14" s="11">
        <f t="shared" si="0"/>
        <v>12.13</v>
      </c>
      <c r="T14" s="11">
        <f t="shared" si="1"/>
        <v>13.07</v>
      </c>
      <c r="U14" s="10">
        <f t="shared" si="2"/>
        <v>13.272500000000001</v>
      </c>
      <c r="V14" s="10">
        <f t="shared" si="3"/>
        <v>15.0175</v>
      </c>
      <c r="W14" s="10">
        <f t="shared" si="4"/>
        <v>11.627500000000001</v>
      </c>
      <c r="X14" s="10">
        <f t="shared" si="5"/>
        <v>12.7125</v>
      </c>
      <c r="Y14" s="10">
        <f t="shared" si="6"/>
        <v>14.93</v>
      </c>
      <c r="Z14" s="10">
        <f t="shared" si="7"/>
        <v>17.195</v>
      </c>
      <c r="AA14" s="10">
        <f t="shared" si="8"/>
        <v>11.55</v>
      </c>
      <c r="AB14" s="10">
        <f t="shared" si="9"/>
        <v>12.675000000000001</v>
      </c>
      <c r="AD14" s="11" t="str">
        <f t="shared" si="10"/>
        <v>18M</v>
      </c>
      <c r="AE14" s="8">
        <f t="shared" si="11"/>
        <v>12.600000000000001</v>
      </c>
      <c r="AF14" s="10">
        <f t="shared" si="12"/>
        <v>14.145</v>
      </c>
      <c r="AG14" s="10">
        <f t="shared" si="13"/>
        <v>12.170000000000002</v>
      </c>
      <c r="AH14" s="10">
        <f t="shared" si="14"/>
        <v>16.0625</v>
      </c>
      <c r="AI14" s="10">
        <f t="shared" si="15"/>
        <v>12.112500000000001</v>
      </c>
      <c r="AK14" s="10">
        <f>+AE14-'Mids BGN'!N14</f>
        <v>0</v>
      </c>
      <c r="AL14" s="10">
        <f>+AF14-'Mids BGN'!O14</f>
        <v>0</v>
      </c>
      <c r="AM14" s="10">
        <f>+AG14-'Mids BGN'!P14</f>
        <v>0</v>
      </c>
      <c r="AN14" s="10">
        <f>+AH14-'Mids BGN'!Q14</f>
        <v>0</v>
      </c>
    </row>
    <row r="15" spans="1:40" x14ac:dyDescent="0.2">
      <c r="A15" s="1" t="s">
        <v>26</v>
      </c>
      <c r="B15" s="1" t="s">
        <v>93</v>
      </c>
      <c r="C15" s="1" t="s">
        <v>94</v>
      </c>
      <c r="D15" s="1" t="s">
        <v>95</v>
      </c>
      <c r="E15" s="1" t="s">
        <v>96</v>
      </c>
      <c r="F15" s="3" t="s">
        <v>25</v>
      </c>
      <c r="G15" s="8" cm="1">
        <f t="array" ref="G15">_xll.BDP($A15,G$2)</f>
        <v>12.21</v>
      </c>
      <c r="H15" s="8" cm="1">
        <f t="array" ref="H15">_xll.BDP($A15,H$2)</f>
        <v>13.24</v>
      </c>
      <c r="I15" s="9" cm="1">
        <f t="array" ref="I15">_xll.BDP($B15,I$2)</f>
        <v>1.615</v>
      </c>
      <c r="J15" s="9" cm="1">
        <f t="array" ref="J15">_xll.BDP($B15,J$2)</f>
        <v>2.34</v>
      </c>
      <c r="K15" s="8" cm="1">
        <f t="array" ref="K15">_xll.BDP($C15,K$2)</f>
        <v>0.34</v>
      </c>
      <c r="L15" s="8" cm="1">
        <f t="array" ref="L15">_xll.BDP($C15,L$2)</f>
        <v>0.85499999999999998</v>
      </c>
      <c r="M15" s="9" cm="1">
        <f t="array" ref="M15">_xll.BDP($D15,M$2)</f>
        <v>3.3450000000000002</v>
      </c>
      <c r="N15" s="9" cm="1">
        <f t="array" ref="N15">_xll.BDP($D15,N$2)</f>
        <v>4.585</v>
      </c>
      <c r="O15" s="8" cm="1">
        <f t="array" ref="O15">_xll.BDP($E15,O$2)</f>
        <v>1.145</v>
      </c>
      <c r="P15" s="8" cm="1">
        <f t="array" ref="P15">_xll.BDP($E15,P$2)</f>
        <v>1.97</v>
      </c>
      <c r="R15" s="3" t="s">
        <v>25</v>
      </c>
      <c r="S15" s="11">
        <f t="shared" si="0"/>
        <v>12.21</v>
      </c>
      <c r="T15" s="11">
        <f t="shared" si="1"/>
        <v>13.24</v>
      </c>
      <c r="U15" s="10">
        <f t="shared" si="2"/>
        <v>13.3575</v>
      </c>
      <c r="V15" s="10">
        <f t="shared" si="3"/>
        <v>15.265000000000001</v>
      </c>
      <c r="W15" s="10">
        <f t="shared" si="4"/>
        <v>11.742500000000001</v>
      </c>
      <c r="X15" s="10">
        <f t="shared" si="5"/>
        <v>12.925000000000001</v>
      </c>
      <c r="Y15" s="10">
        <f t="shared" si="6"/>
        <v>15.0275</v>
      </c>
      <c r="Z15" s="10">
        <f t="shared" si="7"/>
        <v>17.502500000000001</v>
      </c>
      <c r="AA15" s="10">
        <f t="shared" si="8"/>
        <v>11.682500000000001</v>
      </c>
      <c r="AB15" s="10">
        <f t="shared" si="9"/>
        <v>12.9175</v>
      </c>
      <c r="AD15" s="11" t="str">
        <f t="shared" si="10"/>
        <v>2Y</v>
      </c>
      <c r="AE15" s="8">
        <f t="shared" si="11"/>
        <v>12.725000000000001</v>
      </c>
      <c r="AF15" s="10">
        <f t="shared" si="12"/>
        <v>14.311250000000001</v>
      </c>
      <c r="AG15" s="10">
        <f t="shared" si="13"/>
        <v>12.333750000000002</v>
      </c>
      <c r="AH15" s="10">
        <f t="shared" si="14"/>
        <v>16.265000000000001</v>
      </c>
      <c r="AI15" s="10">
        <f t="shared" si="15"/>
        <v>12.3</v>
      </c>
      <c r="AK15" s="10">
        <f>+AE15-'Mids BGN'!N15</f>
        <v>5.0000000000007816E-3</v>
      </c>
      <c r="AL15" s="10">
        <f>+AF15-'Mids BGN'!O15</f>
        <v>5.0000000000007816E-3</v>
      </c>
      <c r="AM15" s="10">
        <f>+AG15-'Mids BGN'!P15</f>
        <v>5.0000000000007816E-3</v>
      </c>
      <c r="AN15" s="10">
        <f>+AH15-'Mids BGN'!Q15</f>
        <v>4.9999999999990052E-3</v>
      </c>
    </row>
    <row r="16" spans="1:40" x14ac:dyDescent="0.2">
      <c r="A16" s="1" t="s">
        <v>28</v>
      </c>
      <c r="B16" s="1" t="s">
        <v>97</v>
      </c>
      <c r="C16" s="1" t="s">
        <v>98</v>
      </c>
      <c r="D16" s="1" t="s">
        <v>99</v>
      </c>
      <c r="E16" s="1" t="s">
        <v>100</v>
      </c>
      <c r="F16" s="3" t="s">
        <v>27</v>
      </c>
      <c r="G16" s="8" cm="1">
        <f t="array" ref="G16">_xll.BDP($A16,G$2)</f>
        <v>11.37</v>
      </c>
      <c r="H16" s="8" cm="1">
        <f t="array" ref="H16">_xll.BDP($A16,H$2)</f>
        <v>14.23</v>
      </c>
      <c r="I16" s="9" cm="1">
        <f t="array" ref="I16">_xll.BDP($B16,I$2)</f>
        <v>0.96499999999999997</v>
      </c>
      <c r="J16" s="9" cm="1">
        <f t="array" ref="J16">_xll.BDP($B16,J$2)</f>
        <v>2.96</v>
      </c>
      <c r="K16" s="8" cm="1">
        <f t="array" ref="K16">_xll.BDP($C16,K$2)</f>
        <v>-0.05</v>
      </c>
      <c r="L16" s="8" cm="1">
        <f t="array" ref="L16">_xll.BDP($C16,L$2)</f>
        <v>1.375</v>
      </c>
      <c r="M16" s="9" cm="1">
        <f t="array" ref="M16">_xll.BDP($D16,M$2)</f>
        <v>2.29</v>
      </c>
      <c r="N16" s="9" cm="1">
        <f t="array" ref="N16">_xll.BDP($D16,N$2)</f>
        <v>5.71</v>
      </c>
      <c r="O16" s="8" cm="1">
        <f t="array" ref="O16">_xll.BDP($E16,O$2)</f>
        <v>0.57499999999999996</v>
      </c>
      <c r="P16" s="8" cm="1">
        <f t="array" ref="P16">_xll.BDP($E16,P$2)</f>
        <v>2.855</v>
      </c>
      <c r="R16" s="3" t="s">
        <v>27</v>
      </c>
      <c r="S16" s="11">
        <f t="shared" si="0"/>
        <v>11.37</v>
      </c>
      <c r="T16" s="11">
        <f t="shared" si="1"/>
        <v>14.23</v>
      </c>
      <c r="U16" s="10">
        <f t="shared" si="2"/>
        <v>11.802499999999998</v>
      </c>
      <c r="V16" s="10">
        <f t="shared" si="3"/>
        <v>17.085000000000001</v>
      </c>
      <c r="W16" s="10">
        <f t="shared" si="4"/>
        <v>10.837499999999999</v>
      </c>
      <c r="X16" s="10">
        <f t="shared" si="5"/>
        <v>14.125</v>
      </c>
      <c r="Y16" s="10">
        <f t="shared" si="6"/>
        <v>13.089999999999998</v>
      </c>
      <c r="Z16" s="10">
        <f t="shared" si="7"/>
        <v>19.940000000000001</v>
      </c>
      <c r="AA16" s="10">
        <f t="shared" si="8"/>
        <v>10.799999999999999</v>
      </c>
      <c r="AB16" s="10">
        <f t="shared" si="9"/>
        <v>14.23</v>
      </c>
      <c r="AD16" s="11" t="str">
        <f t="shared" si="10"/>
        <v>3Y</v>
      </c>
      <c r="AE16" s="8">
        <f t="shared" si="11"/>
        <v>12.8</v>
      </c>
      <c r="AF16" s="10">
        <f t="shared" si="12"/>
        <v>14.44375</v>
      </c>
      <c r="AG16" s="10">
        <f t="shared" si="13"/>
        <v>12.481249999999999</v>
      </c>
      <c r="AH16" s="10">
        <f t="shared" si="14"/>
        <v>16.515000000000001</v>
      </c>
      <c r="AI16" s="10">
        <f t="shared" si="15"/>
        <v>12.515000000000001</v>
      </c>
      <c r="AK16" s="10">
        <f>+AE16-'Mids BGN'!N16</f>
        <v>0</v>
      </c>
      <c r="AL16" s="10">
        <f>+AF16-'Mids BGN'!O16</f>
        <v>0</v>
      </c>
      <c r="AM16" s="10">
        <f>+AG16-'Mids BGN'!P16</f>
        <v>0</v>
      </c>
      <c r="AN16" s="10">
        <f>+AH16-'Mids BGN'!Q16</f>
        <v>0</v>
      </c>
    </row>
    <row r="17" spans="1:40" x14ac:dyDescent="0.2">
      <c r="A17" s="1" t="s">
        <v>30</v>
      </c>
      <c r="B17" s="1" t="s">
        <v>101</v>
      </c>
      <c r="C17" s="1" t="s">
        <v>102</v>
      </c>
      <c r="D17" s="1" t="s">
        <v>103</v>
      </c>
      <c r="E17" s="1" t="s">
        <v>104</v>
      </c>
      <c r="F17" s="3" t="s">
        <v>29</v>
      </c>
      <c r="G17" s="8" cm="1">
        <f t="array" ref="G17">_xll.BDP($A17,G$2)</f>
        <v>11.4</v>
      </c>
      <c r="H17" s="8" cm="1">
        <f t="array" ref="H17">_xll.BDP($A17,H$2)</f>
        <v>14.27</v>
      </c>
      <c r="I17" s="9" cm="1">
        <f t="array" ref="I17">_xll.BDP($B17,I$2)</f>
        <v>0.93500000000000005</v>
      </c>
      <c r="J17" s="9" cm="1">
        <f t="array" ref="J17">_xll.BDP($B17,J$2)</f>
        <v>2.9449999999999998</v>
      </c>
      <c r="K17" s="8" cm="1">
        <f t="array" ref="K17">_xll.BDP($C17,K$2)</f>
        <v>-0.01</v>
      </c>
      <c r="L17" s="8" cm="1">
        <f t="array" ref="L17">_xll.BDP($C17,L$2)</f>
        <v>1.425</v>
      </c>
      <c r="M17" s="9" cm="1">
        <f t="array" ref="M17">_xll.BDP($D17,M$2)</f>
        <v>2.2799999999999998</v>
      </c>
      <c r="N17" s="9" cm="1">
        <f t="array" ref="N17">_xll.BDP($D17,N$2)</f>
        <v>5.7249999999999996</v>
      </c>
      <c r="O17" s="8" cm="1">
        <f t="array" ref="O17">_xll.BDP($E17,O$2)</f>
        <v>0.65</v>
      </c>
      <c r="P17" s="8" cm="1">
        <f t="array" ref="P17">_xll.BDP($E17,P$2)</f>
        <v>2.9449999999999998</v>
      </c>
      <c r="R17" s="3" t="s">
        <v>29</v>
      </c>
      <c r="S17" s="11">
        <f t="shared" si="0"/>
        <v>11.4</v>
      </c>
      <c r="T17" s="11">
        <f t="shared" si="1"/>
        <v>14.27</v>
      </c>
      <c r="U17" s="10">
        <f t="shared" si="2"/>
        <v>11.8575</v>
      </c>
      <c r="V17" s="10">
        <f t="shared" si="3"/>
        <v>17.1675</v>
      </c>
      <c r="W17" s="10">
        <f t="shared" si="4"/>
        <v>10.922500000000001</v>
      </c>
      <c r="X17" s="10">
        <f t="shared" si="5"/>
        <v>14.2225</v>
      </c>
      <c r="Y17" s="10">
        <f t="shared" si="6"/>
        <v>13.190000000000001</v>
      </c>
      <c r="Z17" s="10">
        <f t="shared" si="7"/>
        <v>20.077500000000001</v>
      </c>
      <c r="AA17" s="10">
        <f t="shared" si="8"/>
        <v>10.91</v>
      </c>
      <c r="AB17" s="10">
        <f t="shared" si="9"/>
        <v>14.352499999999999</v>
      </c>
      <c r="AD17" s="11" t="str">
        <f t="shared" si="10"/>
        <v>4Y</v>
      </c>
      <c r="AE17" s="8">
        <f t="shared" si="11"/>
        <v>12.835000000000001</v>
      </c>
      <c r="AF17" s="10">
        <f t="shared" si="12"/>
        <v>14.512499999999999</v>
      </c>
      <c r="AG17" s="10">
        <f t="shared" si="13"/>
        <v>12.572500000000002</v>
      </c>
      <c r="AH17" s="10">
        <f t="shared" si="14"/>
        <v>16.633749999999999</v>
      </c>
      <c r="AI17" s="10">
        <f t="shared" si="15"/>
        <v>12.63125</v>
      </c>
      <c r="AK17" s="10">
        <f>+AE17-'Mids BGN'!N17</f>
        <v>-4.9999999999990052E-3</v>
      </c>
      <c r="AL17" s="10">
        <f>+AF17-'Mids BGN'!O17</f>
        <v>-5.0000000000007816E-3</v>
      </c>
      <c r="AM17" s="10">
        <f>+AG17-'Mids BGN'!P17</f>
        <v>-4.9999999999972289E-3</v>
      </c>
      <c r="AN17" s="10">
        <f>+AH17-'Mids BGN'!Q17</f>
        <v>-5.000000000002558E-3</v>
      </c>
    </row>
    <row r="18" spans="1:40" x14ac:dyDescent="0.2">
      <c r="A18" s="1" t="s">
        <v>32</v>
      </c>
      <c r="B18" s="1" t="s">
        <v>105</v>
      </c>
      <c r="C18" s="1" t="s">
        <v>106</v>
      </c>
      <c r="D18" s="1" t="s">
        <v>107</v>
      </c>
      <c r="E18" s="1" t="s">
        <v>108</v>
      </c>
      <c r="F18" s="3" t="s">
        <v>31</v>
      </c>
      <c r="G18" s="8" cm="1">
        <f t="array" ref="G18">_xll.BDP($A18,G$2)</f>
        <v>11.77</v>
      </c>
      <c r="H18" s="8" cm="1">
        <f t="array" ref="H18">_xll.BDP($A18,H$2)</f>
        <v>14.66</v>
      </c>
      <c r="I18" s="9" cm="1">
        <f t="array" ref="I18">_xll.BDP($B18,I$2)</f>
        <v>0.98</v>
      </c>
      <c r="J18" s="9" cm="1">
        <f t="array" ref="J18">_xll.BDP($B18,J$2)</f>
        <v>3.0049999999999999</v>
      </c>
      <c r="K18" s="8" cm="1">
        <f t="array" ref="K18">_xll.BDP($C18,K$2)</f>
        <v>4.4999999999999998E-2</v>
      </c>
      <c r="L18" s="8" cm="1">
        <f t="array" ref="L18">_xll.BDP($C18,L$2)</f>
        <v>1.4950000000000001</v>
      </c>
      <c r="M18" s="9" cm="1">
        <f t="array" ref="M18">_xll.BDP($D18,M$2)</f>
        <v>2.4049999999999998</v>
      </c>
      <c r="N18" s="9" cm="1">
        <f t="array" ref="N18">_xll.BDP($D18,N$2)</f>
        <v>5.8849999999999998</v>
      </c>
      <c r="O18" s="8" cm="1">
        <f t="array" ref="O18">_xll.BDP($E18,O$2)</f>
        <v>0.78</v>
      </c>
      <c r="P18" s="8" cm="1">
        <f t="array" ref="P18">_xll.BDP($E18,P$2)</f>
        <v>3.1</v>
      </c>
      <c r="R18" s="3" t="s">
        <v>31</v>
      </c>
      <c r="S18" s="11">
        <f t="shared" si="0"/>
        <v>11.77</v>
      </c>
      <c r="T18" s="11">
        <f t="shared" si="1"/>
        <v>14.66</v>
      </c>
      <c r="U18" s="10">
        <f t="shared" si="2"/>
        <v>12.305</v>
      </c>
      <c r="V18" s="10">
        <f t="shared" si="3"/>
        <v>17.657500000000002</v>
      </c>
      <c r="W18" s="10">
        <f t="shared" si="4"/>
        <v>11.324999999999999</v>
      </c>
      <c r="X18" s="10">
        <f t="shared" si="5"/>
        <v>14.6525</v>
      </c>
      <c r="Y18" s="10">
        <f t="shared" si="6"/>
        <v>13.7525</v>
      </c>
      <c r="Z18" s="10">
        <f t="shared" si="7"/>
        <v>20.702500000000001</v>
      </c>
      <c r="AA18" s="10">
        <f t="shared" si="8"/>
        <v>11.347499999999998</v>
      </c>
      <c r="AB18" s="10">
        <f t="shared" si="9"/>
        <v>14.817500000000001</v>
      </c>
      <c r="AD18" s="11" t="str">
        <f t="shared" si="10"/>
        <v>5Y</v>
      </c>
      <c r="AE18" s="8">
        <f t="shared" si="11"/>
        <v>13.215</v>
      </c>
      <c r="AF18" s="10">
        <f t="shared" si="12"/>
        <v>14.981250000000001</v>
      </c>
      <c r="AG18" s="10">
        <f t="shared" si="13"/>
        <v>12.98875</v>
      </c>
      <c r="AH18" s="10">
        <f t="shared" si="14"/>
        <v>17.227499999999999</v>
      </c>
      <c r="AI18" s="10">
        <f t="shared" si="15"/>
        <v>13.0825</v>
      </c>
      <c r="AK18" s="10">
        <f>+AE18-'Mids BGN'!N18</f>
        <v>4.9999999999990052E-3</v>
      </c>
      <c r="AL18" s="10">
        <f>+AF18-'Mids BGN'!O18</f>
        <v>5.0000000000007816E-3</v>
      </c>
      <c r="AM18" s="10">
        <f>+AG18-'Mids BGN'!P18</f>
        <v>4.9999999999990052E-3</v>
      </c>
      <c r="AN18" s="10">
        <f>+AH18-'Mids BGN'!Q18</f>
        <v>4.9999999999990052E-3</v>
      </c>
    </row>
    <row r="19" spans="1:40" x14ac:dyDescent="0.2">
      <c r="A19" s="1" t="s">
        <v>34</v>
      </c>
      <c r="B19" s="1" t="s">
        <v>109</v>
      </c>
      <c r="C19" s="1" t="s">
        <v>110</v>
      </c>
      <c r="D19" s="1" t="s">
        <v>111</v>
      </c>
      <c r="E19" s="1" t="s">
        <v>112</v>
      </c>
      <c r="F19" s="3" t="s">
        <v>33</v>
      </c>
      <c r="G19" s="8" cm="1">
        <f t="array" ref="G19">_xll.BDP($A19,G$2)</f>
        <v>11.79</v>
      </c>
      <c r="H19" s="8" cm="1">
        <f t="array" ref="H19">_xll.BDP($A19,H$2)</f>
        <v>14.73</v>
      </c>
      <c r="I19" s="9" cm="1">
        <f t="array" ref="I19">_xll.BDP($B19,I$2)</f>
        <v>1.04</v>
      </c>
      <c r="J19" s="9" cm="1">
        <f t="array" ref="J19">_xll.BDP($B19,J$2)</f>
        <v>3.1</v>
      </c>
      <c r="K19" s="8" cm="1">
        <f t="array" ref="K19">_xll.BDP($C19,K$2)</f>
        <v>0.1</v>
      </c>
      <c r="L19" s="8" cm="1">
        <f t="array" ref="L19">_xll.BDP($C19,L$2)</f>
        <v>1.57</v>
      </c>
      <c r="M19" s="9" cm="1">
        <f t="array" ref="M19">_xll.BDP($D19,M$2)</f>
        <v>2.59</v>
      </c>
      <c r="N19" s="9" cm="1">
        <f t="array" ref="N19">_xll.BDP($D19,N$2)</f>
        <v>6.12</v>
      </c>
      <c r="O19" s="8" cm="1">
        <f t="array" ref="O19">_xll.BDP($E19,O$2)</f>
        <v>0.86</v>
      </c>
      <c r="P19" s="8" cm="1">
        <f t="array" ref="P19">_xll.BDP($E19,P$2)</f>
        <v>3.21</v>
      </c>
      <c r="R19" s="3" t="s">
        <v>33</v>
      </c>
      <c r="S19" s="11">
        <f t="shared" si="0"/>
        <v>11.79</v>
      </c>
      <c r="T19" s="11">
        <f t="shared" si="1"/>
        <v>14.73</v>
      </c>
      <c r="U19" s="10">
        <f t="shared" si="2"/>
        <v>12.409999999999998</v>
      </c>
      <c r="V19" s="10">
        <f t="shared" si="3"/>
        <v>17.850000000000001</v>
      </c>
      <c r="W19" s="10">
        <f t="shared" si="4"/>
        <v>11.37</v>
      </c>
      <c r="X19" s="10">
        <f t="shared" si="5"/>
        <v>14.75</v>
      </c>
      <c r="Y19" s="10">
        <f t="shared" si="6"/>
        <v>13.944999999999999</v>
      </c>
      <c r="Z19" s="10">
        <f t="shared" si="7"/>
        <v>21</v>
      </c>
      <c r="AA19" s="10">
        <f t="shared" si="8"/>
        <v>11.354999999999999</v>
      </c>
      <c r="AB19" s="10">
        <f t="shared" si="9"/>
        <v>14.879999999999999</v>
      </c>
      <c r="AD19" s="11" t="str">
        <f t="shared" si="10"/>
        <v>7Y</v>
      </c>
      <c r="AE19" s="8">
        <f t="shared" si="11"/>
        <v>13.26</v>
      </c>
      <c r="AF19" s="10">
        <f t="shared" si="12"/>
        <v>15.129999999999999</v>
      </c>
      <c r="AG19" s="10">
        <f t="shared" si="13"/>
        <v>13.059999999999999</v>
      </c>
      <c r="AH19" s="10">
        <f t="shared" si="14"/>
        <v>17.4725</v>
      </c>
      <c r="AI19" s="10">
        <f t="shared" si="15"/>
        <v>13.1175</v>
      </c>
      <c r="AK19" s="10">
        <f>+AE19-'Mids BGN'!N19</f>
        <v>0</v>
      </c>
      <c r="AL19" s="10">
        <f>+AF19-'Mids BGN'!O19</f>
        <v>0</v>
      </c>
      <c r="AM19" s="10">
        <f>+AG19-'Mids BGN'!P19</f>
        <v>0</v>
      </c>
      <c r="AN19" s="10">
        <f>+AH19-'Mids BGN'!Q19</f>
        <v>0</v>
      </c>
    </row>
    <row r="20" spans="1:40" x14ac:dyDescent="0.2">
      <c r="A20" s="1" t="s">
        <v>36</v>
      </c>
      <c r="B20" s="1" t="s">
        <v>113</v>
      </c>
      <c r="C20" s="1" t="s">
        <v>114</v>
      </c>
      <c r="D20" s="1" t="s">
        <v>115</v>
      </c>
      <c r="E20" s="1" t="s">
        <v>116</v>
      </c>
      <c r="F20" s="3" t="s">
        <v>35</v>
      </c>
      <c r="G20" s="8" cm="1">
        <f t="array" ref="G20">_xll.BDP($A20,G$2)</f>
        <v>11.87</v>
      </c>
      <c r="H20" s="8" cm="1">
        <f t="array" ref="H20">_xll.BDP($A20,H$2)</f>
        <v>14.875</v>
      </c>
      <c r="I20" s="9" cm="1">
        <f t="array" ref="I20">_xll.BDP($B20,I$2)</f>
        <v>1.0249999999999999</v>
      </c>
      <c r="J20" s="9" cm="1">
        <f t="array" ref="J20">_xll.BDP($B20,J$2)</f>
        <v>3.13</v>
      </c>
      <c r="K20" s="8" cm="1">
        <f t="array" ref="K20">_xll.BDP($C20,K$2)</f>
        <v>0.1</v>
      </c>
      <c r="L20" s="8" cm="1">
        <f t="array" ref="L20">_xll.BDP($C20,L$2)</f>
        <v>1.605</v>
      </c>
      <c r="M20" s="9" cm="1">
        <f t="array" ref="M20">_xll.BDP($D20,M$2)</f>
        <v>2.645</v>
      </c>
      <c r="N20" s="9" cm="1">
        <f t="array" ref="N20">_xll.BDP($D20,N$2)</f>
        <v>6.2549999999999999</v>
      </c>
      <c r="O20" s="8" cm="1">
        <f t="array" ref="O20">_xll.BDP($E20,O$2)</f>
        <v>0.96499999999999997</v>
      </c>
      <c r="P20" s="8" cm="1">
        <f t="array" ref="P20">_xll.BDP($E20,P$2)</f>
        <v>3.375</v>
      </c>
      <c r="R20" s="3" t="s">
        <v>35</v>
      </c>
      <c r="S20" s="11">
        <f t="shared" si="0"/>
        <v>11.87</v>
      </c>
      <c r="T20" s="11">
        <f t="shared" si="1"/>
        <v>14.875</v>
      </c>
      <c r="U20" s="10">
        <f t="shared" si="2"/>
        <v>12.482499999999998</v>
      </c>
      <c r="V20" s="10">
        <f t="shared" si="3"/>
        <v>18.045000000000002</v>
      </c>
      <c r="W20" s="10">
        <f t="shared" si="4"/>
        <v>11.4575</v>
      </c>
      <c r="X20" s="10">
        <f t="shared" si="5"/>
        <v>14.915000000000001</v>
      </c>
      <c r="Y20" s="10">
        <f t="shared" si="6"/>
        <v>14.157499999999999</v>
      </c>
      <c r="Z20" s="10">
        <f t="shared" si="7"/>
        <v>21.377500000000001</v>
      </c>
      <c r="AA20" s="10">
        <f t="shared" si="8"/>
        <v>11.512499999999999</v>
      </c>
      <c r="AB20" s="10">
        <f t="shared" si="9"/>
        <v>15.1225</v>
      </c>
      <c r="AD20" s="11" t="str">
        <f t="shared" si="10"/>
        <v>10Y</v>
      </c>
      <c r="AE20" s="8">
        <f t="shared" si="11"/>
        <v>13.372499999999999</v>
      </c>
      <c r="AF20" s="10">
        <f t="shared" si="12"/>
        <v>15.26375</v>
      </c>
      <c r="AG20" s="10">
        <f t="shared" si="13"/>
        <v>13.186250000000001</v>
      </c>
      <c r="AH20" s="10">
        <f t="shared" si="14"/>
        <v>17.767499999999998</v>
      </c>
      <c r="AI20" s="10">
        <f t="shared" si="15"/>
        <v>13.317499999999999</v>
      </c>
      <c r="AK20" s="10">
        <f>+AE20-'Mids BGN'!N20</f>
        <v>0</v>
      </c>
      <c r="AL20" s="10">
        <f>+AF20-'Mids BGN'!O20</f>
        <v>0</v>
      </c>
      <c r="AM20" s="10">
        <f>+AG20-'Mids BGN'!P20</f>
        <v>0</v>
      </c>
      <c r="AN20" s="10">
        <f>+AH20-'Mids BGN'!Q20</f>
        <v>0</v>
      </c>
    </row>
    <row r="21" spans="1:40" x14ac:dyDescent="0.2">
      <c r="A21" s="1" t="s">
        <v>38</v>
      </c>
      <c r="B21" s="1" t="s">
        <v>117</v>
      </c>
      <c r="C21" s="1" t="s">
        <v>118</v>
      </c>
      <c r="D21" s="1" t="s">
        <v>119</v>
      </c>
      <c r="E21" s="1" t="s">
        <v>120</v>
      </c>
      <c r="F21" s="3" t="s">
        <v>37</v>
      </c>
      <c r="G21" s="8" cm="1">
        <f t="array" ref="G21">_xll.BDP($A21,G$2)</f>
        <v>9.39</v>
      </c>
      <c r="H21" s="8" cm="1">
        <f t="array" ref="H21">_xll.BDP($A21,H$2)</f>
        <v>13.26</v>
      </c>
      <c r="I21" s="9" cm="1">
        <f t="array" ref="I21">_xll.BDP($B21,I$2)</f>
        <v>0.42499999999999999</v>
      </c>
      <c r="J21" s="9" cm="1">
        <f t="array" ref="J21">_xll.BDP($B21,J$2)</f>
        <v>3.1349999999999998</v>
      </c>
      <c r="K21" s="8" cm="1">
        <f t="array" ref="K21">_xll.BDP($C21,K$2)</f>
        <v>-0.19</v>
      </c>
      <c r="L21" s="8" cm="1">
        <f t="array" ref="L21">_xll.BDP($C21,L$2)</f>
        <v>1.7450000000000001</v>
      </c>
      <c r="M21" s="9" cm="1">
        <f t="array" ref="M21">_xll.BDP($D21,M$2)</f>
        <v>1.56</v>
      </c>
      <c r="N21" s="9" cm="1">
        <f t="array" ref="N21">_xll.BDP($D21,N$2)</f>
        <v>6.2</v>
      </c>
      <c r="O21" s="8" cm="1">
        <f t="array" ref="O21">_xll.BDP($E21,O$2)</f>
        <v>0.66</v>
      </c>
      <c r="P21" s="8" cm="1">
        <f t="array" ref="P21">_xll.BDP($E21,P$2)</f>
        <v>3.7549999999999999</v>
      </c>
      <c r="R21" s="3" t="s">
        <v>37</v>
      </c>
      <c r="S21" s="11">
        <f t="shared" si="0"/>
        <v>9.39</v>
      </c>
      <c r="T21" s="11">
        <f t="shared" si="1"/>
        <v>13.26</v>
      </c>
      <c r="U21" s="10">
        <f t="shared" si="2"/>
        <v>9.4125000000000014</v>
      </c>
      <c r="V21" s="10">
        <f t="shared" si="3"/>
        <v>16.572500000000002</v>
      </c>
      <c r="W21" s="10">
        <f t="shared" si="4"/>
        <v>8.9875000000000007</v>
      </c>
      <c r="X21" s="10">
        <f t="shared" si="5"/>
        <v>13.4375</v>
      </c>
      <c r="Y21" s="10">
        <f t="shared" si="6"/>
        <v>10.83</v>
      </c>
      <c r="Z21" s="10">
        <f t="shared" si="7"/>
        <v>20.114999999999998</v>
      </c>
      <c r="AA21" s="10">
        <f t="shared" si="8"/>
        <v>9.2700000000000014</v>
      </c>
      <c r="AB21" s="10">
        <f t="shared" si="9"/>
        <v>13.914999999999999</v>
      </c>
      <c r="AD21" s="11" t="str">
        <f t="shared" si="10"/>
        <v>15Y</v>
      </c>
      <c r="AE21" s="8">
        <f t="shared" si="11"/>
        <v>11.324999999999999</v>
      </c>
      <c r="AF21" s="10">
        <f t="shared" si="12"/>
        <v>12.992500000000001</v>
      </c>
      <c r="AG21" s="10">
        <f t="shared" si="13"/>
        <v>11.2125</v>
      </c>
      <c r="AH21" s="10">
        <f t="shared" si="14"/>
        <v>15.4725</v>
      </c>
      <c r="AI21" s="10">
        <f t="shared" si="15"/>
        <v>11.592500000000001</v>
      </c>
      <c r="AK21" s="10">
        <f>+AE21-'Mids BGN'!N21</f>
        <v>0</v>
      </c>
      <c r="AL21" s="10">
        <f>+AF21-'Mids BGN'!O21</f>
        <v>0</v>
      </c>
      <c r="AM21" s="10">
        <f>+AG21-'Mids BGN'!P21</f>
        <v>0</v>
      </c>
      <c r="AN21" s="10">
        <f>+AH21-'Mids BGN'!Q21</f>
        <v>0</v>
      </c>
    </row>
    <row r="22" spans="1:40" x14ac:dyDescent="0.2">
      <c r="A22" s="1"/>
      <c r="B22" s="1"/>
      <c r="C22" s="1"/>
      <c r="D22" s="1"/>
      <c r="E22" s="1"/>
      <c r="G22" s="1"/>
      <c r="H22" s="1"/>
      <c r="I22" s="1"/>
      <c r="J22" s="1"/>
    </row>
    <row r="23" spans="1:40" x14ac:dyDescent="0.2">
      <c r="A23" s="1"/>
      <c r="B23" s="1"/>
      <c r="C23" s="1"/>
      <c r="D23" s="1"/>
      <c r="E23" s="1"/>
      <c r="G23" s="1"/>
      <c r="H23" s="1"/>
      <c r="I23" s="1"/>
      <c r="J23" s="1"/>
    </row>
  </sheetData>
  <phoneticPr fontId="2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6E82-79C0-493D-B420-4CF454458AC1}">
  <sheetPr>
    <tabColor rgb="FFFFFF00"/>
  </sheetPr>
  <dimension ref="A1:Y28"/>
  <sheetViews>
    <sheetView topLeftCell="F1" zoomScale="90" zoomScaleNormal="90" workbookViewId="0">
      <selection activeCell="P13" sqref="P13"/>
    </sheetView>
  </sheetViews>
  <sheetFormatPr baseColWidth="10" defaultColWidth="9.140625" defaultRowHeight="12.75" outlineLevelCol="1" x14ac:dyDescent="0.2"/>
  <cols>
    <col min="1" max="1" width="24.5703125" hidden="1" customWidth="1" outlineLevel="1"/>
    <col min="2" max="2" width="26.7109375" hidden="1" customWidth="1" outlineLevel="1"/>
    <col min="3" max="5" width="24.5703125" hidden="1" customWidth="1" outlineLevel="1"/>
    <col min="6" max="6" width="9.28515625" style="7" customWidth="1" collapsed="1"/>
    <col min="7" max="7" width="8.5703125" customWidth="1"/>
    <col min="8" max="8" width="6.7109375" bestFit="1" customWidth="1"/>
    <col min="12" max="12" width="2.85546875" customWidth="1"/>
    <col min="13" max="13" width="11.140625" bestFit="1" customWidth="1"/>
    <col min="14" max="14" width="11.140625" customWidth="1"/>
    <col min="15" max="15" width="11.140625" bestFit="1" customWidth="1"/>
    <col min="16" max="16" width="10.85546875" bestFit="1" customWidth="1"/>
    <col min="17" max="17" width="11.140625" bestFit="1" customWidth="1"/>
    <col min="18" max="18" width="10.85546875" bestFit="1" customWidth="1"/>
  </cols>
  <sheetData>
    <row r="1" spans="1:18" x14ac:dyDescent="0.2">
      <c r="F1" s="3" t="s">
        <v>121</v>
      </c>
      <c r="G1" s="2" t="s">
        <v>0</v>
      </c>
      <c r="H1" s="2" t="s">
        <v>41</v>
      </c>
      <c r="I1" s="2" t="s">
        <v>42</v>
      </c>
      <c r="J1" s="2" t="s">
        <v>43</v>
      </c>
      <c r="K1" s="2" t="s">
        <v>44</v>
      </c>
      <c r="M1" s="12" t="s">
        <v>121</v>
      </c>
      <c r="N1" s="12" t="str">
        <f>+G1</f>
        <v>ATM</v>
      </c>
      <c r="O1" s="13" t="s">
        <v>122</v>
      </c>
      <c r="P1" s="13" t="s">
        <v>123</v>
      </c>
      <c r="Q1" s="13" t="s">
        <v>124</v>
      </c>
      <c r="R1" s="13" t="s">
        <v>125</v>
      </c>
    </row>
    <row r="2" spans="1:18" x14ac:dyDescent="0.2">
      <c r="A2" s="1" t="s">
        <v>0</v>
      </c>
      <c r="B2" s="1" t="s">
        <v>41</v>
      </c>
      <c r="C2" s="1" t="s">
        <v>42</v>
      </c>
      <c r="D2" s="1" t="s">
        <v>43</v>
      </c>
      <c r="E2" s="1" t="s">
        <v>44</v>
      </c>
      <c r="F2" s="3"/>
      <c r="G2" s="3" t="s">
        <v>126</v>
      </c>
      <c r="H2" s="3" t="s">
        <v>126</v>
      </c>
      <c r="I2" s="3" t="s">
        <v>126</v>
      </c>
      <c r="J2" s="3" t="s">
        <v>126</v>
      </c>
      <c r="K2" s="3" t="s">
        <v>126</v>
      </c>
      <c r="M2" s="12"/>
      <c r="N2" s="12" t="str">
        <f>+G2</f>
        <v>Mid</v>
      </c>
      <c r="O2" s="12" t="s">
        <v>126</v>
      </c>
      <c r="P2" s="12" t="s">
        <v>126</v>
      </c>
      <c r="Q2" s="12" t="s">
        <v>126</v>
      </c>
      <c r="R2" s="12" t="s">
        <v>126</v>
      </c>
    </row>
    <row r="3" spans="1:18" x14ac:dyDescent="0.2">
      <c r="A3" s="1" t="s">
        <v>2</v>
      </c>
      <c r="B3" s="1" t="s">
        <v>45</v>
      </c>
      <c r="C3" s="1" t="s">
        <v>46</v>
      </c>
      <c r="D3" s="1" t="s">
        <v>47</v>
      </c>
      <c r="E3" s="1" t="s">
        <v>48</v>
      </c>
      <c r="F3" s="3" t="s">
        <v>1</v>
      </c>
      <c r="G3" s="8" cm="1">
        <f t="array" ref="G3">_xll.BDP($A3,G$2)</f>
        <v>17.27</v>
      </c>
      <c r="H3" s="9" cm="1">
        <f t="array" ref="H3">_xll.BDP($B3,H$2)</f>
        <v>1.3875</v>
      </c>
      <c r="I3" s="8" cm="1">
        <f t="array" ref="I3">_xll.BDP($C3,I$2)</f>
        <v>0.28000000000000003</v>
      </c>
      <c r="J3" s="9" cm="1">
        <f t="array" ref="J3">_xll.BDP($D3,J$2)</f>
        <v>2.64</v>
      </c>
      <c r="K3" s="8" cm="1">
        <f t="array" ref="K3">_xll.BDP($E3,K$2)</f>
        <v>0.95250000000000001</v>
      </c>
      <c r="M3" s="12" t="s">
        <v>1</v>
      </c>
      <c r="N3" s="14">
        <f t="shared" ref="N3:N21" si="0">+G3</f>
        <v>17.27</v>
      </c>
      <c r="O3" s="15">
        <f>G3+H3*0.5+I3</f>
        <v>18.243750000000002</v>
      </c>
      <c r="P3" s="15">
        <f>G3-H3*0.5+I3</f>
        <v>16.856249999999999</v>
      </c>
      <c r="Q3" s="15">
        <f>G3+J3*0.5+K3</f>
        <v>19.5425</v>
      </c>
      <c r="R3" s="15">
        <f>G3-J3*0.5+K3</f>
        <v>16.9025</v>
      </c>
    </row>
    <row r="4" spans="1:18" x14ac:dyDescent="0.2">
      <c r="A4" s="1" t="s">
        <v>4</v>
      </c>
      <c r="B4" s="1" t="s">
        <v>49</v>
      </c>
      <c r="C4" s="1" t="s">
        <v>50</v>
      </c>
      <c r="D4" s="1" t="s">
        <v>51</v>
      </c>
      <c r="E4" s="1" t="s">
        <v>52</v>
      </c>
      <c r="F4" s="3" t="s">
        <v>3</v>
      </c>
      <c r="G4" s="8" cm="1">
        <f t="array" ref="G4">_xll.BDP($A4,G$2)</f>
        <v>12.5825</v>
      </c>
      <c r="H4" s="9" cm="1">
        <f t="array" ref="H4">_xll.BDP($B4,H$2)</f>
        <v>1.6</v>
      </c>
      <c r="I4" s="8" cm="1">
        <f t="array" ref="I4">_xll.BDP($C4,I$2)</f>
        <v>0.30249999999999999</v>
      </c>
      <c r="J4" s="9" cm="1">
        <f t="array" ref="J4">_xll.BDP($D4,J$2)</f>
        <v>3.06</v>
      </c>
      <c r="K4" s="8" cm="1">
        <f t="array" ref="K4">_xll.BDP($E4,K$2)</f>
        <v>1.0225</v>
      </c>
      <c r="M4" s="12" t="s">
        <v>3</v>
      </c>
      <c r="N4" s="14">
        <f t="shared" si="0"/>
        <v>12.5825</v>
      </c>
      <c r="O4" s="15">
        <f t="shared" ref="O4:O21" si="1">G4+H4*0.5+I4</f>
        <v>13.685</v>
      </c>
      <c r="P4" s="15">
        <f t="shared" ref="P4:P21" si="2">G4-H4*0.5+I4</f>
        <v>12.084999999999999</v>
      </c>
      <c r="Q4" s="15">
        <f t="shared" ref="Q4:Q21" si="3">G4+J4*0.5+K4</f>
        <v>15.134999999999998</v>
      </c>
      <c r="R4" s="15">
        <f t="shared" ref="R4:R21" si="4">G4-J4*0.5+K4</f>
        <v>12.074999999999999</v>
      </c>
    </row>
    <row r="5" spans="1:18" x14ac:dyDescent="0.2">
      <c r="A5" s="1" t="s">
        <v>6</v>
      </c>
      <c r="B5" s="1" t="s">
        <v>53</v>
      </c>
      <c r="C5" s="1" t="s">
        <v>54</v>
      </c>
      <c r="D5" s="1" t="s">
        <v>55</v>
      </c>
      <c r="E5" s="1" t="s">
        <v>56</v>
      </c>
      <c r="F5" s="3" t="s">
        <v>5</v>
      </c>
      <c r="G5" s="8" cm="1">
        <f t="array" ref="G5">_xll.BDP($A5,G$2)</f>
        <v>12.907500000000001</v>
      </c>
      <c r="H5" s="9" cm="1">
        <f t="array" ref="H5">_xll.BDP($B5,H$2)</f>
        <v>1.6525000000000001</v>
      </c>
      <c r="I5" s="8" cm="1">
        <f t="array" ref="I5">_xll.BDP($C5,I$2)</f>
        <v>0.3125</v>
      </c>
      <c r="J5" s="9" cm="1">
        <f t="array" ref="J5">_xll.BDP($D5,J$2)</f>
        <v>3.17</v>
      </c>
      <c r="K5" s="8" cm="1">
        <f t="array" ref="K5">_xll.BDP($E5,K$2)</f>
        <v>1.0275000000000001</v>
      </c>
      <c r="M5" s="12" t="s">
        <v>5</v>
      </c>
      <c r="N5" s="14">
        <f t="shared" si="0"/>
        <v>12.907500000000001</v>
      </c>
      <c r="O5" s="15">
        <f t="shared" si="1"/>
        <v>14.046250000000001</v>
      </c>
      <c r="P5" s="15">
        <f t="shared" si="2"/>
        <v>12.393750000000001</v>
      </c>
      <c r="Q5" s="15">
        <f t="shared" si="3"/>
        <v>15.52</v>
      </c>
      <c r="R5" s="15">
        <f t="shared" si="4"/>
        <v>12.350000000000001</v>
      </c>
    </row>
    <row r="6" spans="1:18" x14ac:dyDescent="0.2">
      <c r="A6" s="1" t="s">
        <v>8</v>
      </c>
      <c r="B6" s="1" t="s">
        <v>57</v>
      </c>
      <c r="C6" s="1" t="s">
        <v>58</v>
      </c>
      <c r="D6" s="1" t="s">
        <v>59</v>
      </c>
      <c r="E6" s="1" t="s">
        <v>60</v>
      </c>
      <c r="F6" s="3" t="s">
        <v>7</v>
      </c>
      <c r="G6" s="8" cm="1">
        <f t="array" ref="G6">_xll.BDP($A6,G$2)</f>
        <v>13.005000000000001</v>
      </c>
      <c r="H6" s="9" cm="1">
        <f t="array" ref="H6">_xll.BDP($B6,H$2)</f>
        <v>1.7250000000000001</v>
      </c>
      <c r="I6" s="8" cm="1">
        <f t="array" ref="I6">_xll.BDP($C6,I$2)</f>
        <v>0.32750000000000001</v>
      </c>
      <c r="J6" s="9" cm="1">
        <f t="array" ref="J6">_xll.BDP($D6,J$2)</f>
        <v>3.3075000000000001</v>
      </c>
      <c r="K6" s="8" cm="1">
        <f t="array" ref="K6">_xll.BDP($E6,K$2)</f>
        <v>1.0575000000000001</v>
      </c>
      <c r="M6" s="12" t="s">
        <v>7</v>
      </c>
      <c r="N6" s="14">
        <f t="shared" si="0"/>
        <v>13.005000000000001</v>
      </c>
      <c r="O6" s="15">
        <f t="shared" si="1"/>
        <v>14.195000000000002</v>
      </c>
      <c r="P6" s="15">
        <f t="shared" si="2"/>
        <v>12.47</v>
      </c>
      <c r="Q6" s="15">
        <f t="shared" si="3"/>
        <v>15.716250000000002</v>
      </c>
      <c r="R6" s="15">
        <f t="shared" si="4"/>
        <v>12.408750000000001</v>
      </c>
    </row>
    <row r="7" spans="1:18" x14ac:dyDescent="0.2">
      <c r="A7" s="1" t="s">
        <v>10</v>
      </c>
      <c r="B7" s="1" t="s">
        <v>61</v>
      </c>
      <c r="C7" s="1" t="s">
        <v>62</v>
      </c>
      <c r="D7" s="1" t="s">
        <v>63</v>
      </c>
      <c r="E7" s="1" t="s">
        <v>64</v>
      </c>
      <c r="F7" s="3" t="s">
        <v>9</v>
      </c>
      <c r="G7" s="8" cm="1">
        <f t="array" ref="G7">_xll.BDP($A7,G$2)</f>
        <v>13.01</v>
      </c>
      <c r="H7" s="9" cm="1">
        <f t="array" ref="H7">_xll.BDP($B7,H$2)</f>
        <v>1.7825</v>
      </c>
      <c r="I7" s="8" cm="1">
        <f t="array" ref="I7">_xll.BDP($C7,I$2)</f>
        <v>0.34250000000000003</v>
      </c>
      <c r="J7" s="9" cm="1">
        <f t="array" ref="J7">_xll.BDP($D7,J$2)</f>
        <v>3.4249999999999998</v>
      </c>
      <c r="K7" s="8" cm="1">
        <f t="array" ref="K7">_xll.BDP($E7,K$2)</f>
        <v>1.0825</v>
      </c>
      <c r="M7" s="12" t="s">
        <v>9</v>
      </c>
      <c r="N7" s="14">
        <f t="shared" si="0"/>
        <v>13.01</v>
      </c>
      <c r="O7" s="15">
        <f t="shared" si="1"/>
        <v>14.243749999999999</v>
      </c>
      <c r="P7" s="15">
        <f t="shared" si="2"/>
        <v>12.46125</v>
      </c>
      <c r="Q7" s="15">
        <f t="shared" si="3"/>
        <v>15.805</v>
      </c>
      <c r="R7" s="15">
        <f t="shared" si="4"/>
        <v>12.379999999999999</v>
      </c>
    </row>
    <row r="8" spans="1:18" x14ac:dyDescent="0.2">
      <c r="A8" s="1" t="s">
        <v>12</v>
      </c>
      <c r="B8" s="1" t="s">
        <v>65</v>
      </c>
      <c r="C8" s="1" t="s">
        <v>66</v>
      </c>
      <c r="D8" s="1" t="s">
        <v>67</v>
      </c>
      <c r="E8" s="1" t="s">
        <v>68</v>
      </c>
      <c r="F8" s="3" t="s">
        <v>11</v>
      </c>
      <c r="G8" s="8" cm="1">
        <f t="array" ref="G8">_xll.BDP($A8,G$2)</f>
        <v>12.88</v>
      </c>
      <c r="H8" s="9" cm="1">
        <f t="array" ref="H8">_xll.BDP($B8,H$2)</f>
        <v>1.83</v>
      </c>
      <c r="I8" s="8" cm="1">
        <f t="array" ref="I8">_xll.BDP($C8,I$2)</f>
        <v>0.36</v>
      </c>
      <c r="J8" s="9" cm="1">
        <f t="array" ref="J8">_xll.BDP($D8,J$2)</f>
        <v>3.5350000000000001</v>
      </c>
      <c r="K8" s="8" cm="1">
        <f t="array" ref="K8">_xll.BDP($E8,K$2)</f>
        <v>1.1000000000000001</v>
      </c>
      <c r="M8" s="12" t="s">
        <v>11</v>
      </c>
      <c r="N8" s="14">
        <f t="shared" si="0"/>
        <v>12.88</v>
      </c>
      <c r="O8" s="15">
        <f t="shared" si="1"/>
        <v>14.155000000000001</v>
      </c>
      <c r="P8" s="15">
        <f t="shared" si="2"/>
        <v>12.324999999999999</v>
      </c>
      <c r="Q8" s="15">
        <f t="shared" si="3"/>
        <v>15.7475</v>
      </c>
      <c r="R8" s="15">
        <f t="shared" si="4"/>
        <v>12.2125</v>
      </c>
    </row>
    <row r="9" spans="1:18" x14ac:dyDescent="0.2">
      <c r="A9" s="1" t="s">
        <v>14</v>
      </c>
      <c r="B9" s="1" t="s">
        <v>69</v>
      </c>
      <c r="C9" s="1" t="s">
        <v>70</v>
      </c>
      <c r="D9" s="1" t="s">
        <v>71</v>
      </c>
      <c r="E9" s="1" t="s">
        <v>72</v>
      </c>
      <c r="F9" s="3" t="s">
        <v>13</v>
      </c>
      <c r="G9" s="8" cm="1">
        <f t="array" ref="G9">_xll.BDP($A9,G$2)</f>
        <v>12.74</v>
      </c>
      <c r="H9" s="9" cm="1">
        <f t="array" ref="H9">_xll.BDP($B9,H$2)</f>
        <v>1.8774999999999999</v>
      </c>
      <c r="I9" s="8" cm="1">
        <f t="array" ref="I9">_xll.BDP($C9,I$2)</f>
        <v>0.38500000000000001</v>
      </c>
      <c r="J9" s="9" cm="1">
        <f t="array" ref="J9">_xll.BDP($D9,J$2)</f>
        <v>3.6475</v>
      </c>
      <c r="K9" s="8" cm="1">
        <f t="array" ref="K9">_xll.BDP($E9,K$2)</f>
        <v>1.1499999999999999</v>
      </c>
      <c r="M9" s="12" t="s">
        <v>13</v>
      </c>
      <c r="N9" s="14">
        <f t="shared" si="0"/>
        <v>12.74</v>
      </c>
      <c r="O9" s="15">
        <f t="shared" si="1"/>
        <v>14.063750000000001</v>
      </c>
      <c r="P9" s="15">
        <f t="shared" si="2"/>
        <v>12.186249999999999</v>
      </c>
      <c r="Q9" s="15">
        <f t="shared" si="3"/>
        <v>15.713750000000001</v>
      </c>
      <c r="R9" s="15">
        <f t="shared" si="4"/>
        <v>12.06625</v>
      </c>
    </row>
    <row r="10" spans="1:18" x14ac:dyDescent="0.2">
      <c r="A10" s="1" t="s">
        <v>16</v>
      </c>
      <c r="B10" s="1" t="s">
        <v>73</v>
      </c>
      <c r="C10" s="1" t="s">
        <v>74</v>
      </c>
      <c r="D10" s="1" t="s">
        <v>75</v>
      </c>
      <c r="E10" s="1" t="s">
        <v>76</v>
      </c>
      <c r="F10" s="3" t="s">
        <v>15</v>
      </c>
      <c r="G10" s="8" cm="1">
        <f t="array" ref="G10">_xll.BDP($A10,G$2)</f>
        <v>12.5825</v>
      </c>
      <c r="H10" s="9" cm="1">
        <f t="array" ref="H10">_xll.BDP($B10,H$2)</f>
        <v>1.91</v>
      </c>
      <c r="I10" s="8" cm="1">
        <f t="array" ref="I10">_xll.BDP($C10,I$2)</f>
        <v>0.40749999999999997</v>
      </c>
      <c r="J10" s="9" cm="1">
        <f t="array" ref="J10">_xll.BDP($D10,J$2)</f>
        <v>3.7275</v>
      </c>
      <c r="K10" s="8" cm="1">
        <f t="array" ref="K10">_xll.BDP($E10,K$2)</f>
        <v>1.2</v>
      </c>
      <c r="M10" s="12" t="s">
        <v>15</v>
      </c>
      <c r="N10" s="14">
        <f t="shared" si="0"/>
        <v>12.5825</v>
      </c>
      <c r="O10" s="15">
        <f t="shared" si="1"/>
        <v>13.945</v>
      </c>
      <c r="P10" s="15">
        <f t="shared" si="2"/>
        <v>12.035</v>
      </c>
      <c r="Q10" s="15">
        <f t="shared" si="3"/>
        <v>15.646249999999998</v>
      </c>
      <c r="R10" s="15">
        <f t="shared" si="4"/>
        <v>11.918749999999999</v>
      </c>
    </row>
    <row r="11" spans="1:18" x14ac:dyDescent="0.2">
      <c r="A11" s="1" t="s">
        <v>18</v>
      </c>
      <c r="B11" s="1" t="s">
        <v>77</v>
      </c>
      <c r="C11" s="1" t="s">
        <v>78</v>
      </c>
      <c r="D11" s="1" t="s">
        <v>79</v>
      </c>
      <c r="E11" s="1" t="s">
        <v>80</v>
      </c>
      <c r="F11" s="3" t="s">
        <v>17</v>
      </c>
      <c r="G11" s="8" cm="1">
        <f t="array" ref="G11">_xll.BDP($A11,G$2)</f>
        <v>12.45</v>
      </c>
      <c r="H11" s="9" cm="1">
        <f t="array" ref="H11">_xll.BDP($B11,H$2)</f>
        <v>1.9375</v>
      </c>
      <c r="I11" s="8" cm="1">
        <f t="array" ref="I11">_xll.BDP($C11,I$2)</f>
        <v>0.4325</v>
      </c>
      <c r="J11" s="9" cm="1">
        <f t="array" ref="J11">_xll.BDP($D11,J$2)</f>
        <v>3.8050000000000002</v>
      </c>
      <c r="K11" s="8" cm="1">
        <f t="array" ref="K11">_xll.BDP($E11,K$2)</f>
        <v>1.2575000000000001</v>
      </c>
      <c r="M11" s="12" t="s">
        <v>17</v>
      </c>
      <c r="N11" s="14">
        <f t="shared" si="0"/>
        <v>12.45</v>
      </c>
      <c r="O11" s="15">
        <f t="shared" si="1"/>
        <v>13.851249999999999</v>
      </c>
      <c r="P11" s="15">
        <f t="shared" si="2"/>
        <v>11.913749999999999</v>
      </c>
      <c r="Q11" s="15">
        <f t="shared" si="3"/>
        <v>15.61</v>
      </c>
      <c r="R11" s="15">
        <f t="shared" si="4"/>
        <v>11.805</v>
      </c>
    </row>
    <row r="12" spans="1:18" x14ac:dyDescent="0.2">
      <c r="A12" s="1" t="s">
        <v>20</v>
      </c>
      <c r="B12" s="1" t="s">
        <v>81</v>
      </c>
      <c r="C12" s="1" t="s">
        <v>82</v>
      </c>
      <c r="D12" s="1" t="s">
        <v>83</v>
      </c>
      <c r="E12" s="1" t="s">
        <v>84</v>
      </c>
      <c r="F12" s="3" t="s">
        <v>19</v>
      </c>
      <c r="G12" s="8" cm="1">
        <f t="array" ref="G12">_xll.BDP($A12,G$2)</f>
        <v>12.43</v>
      </c>
      <c r="H12" s="9" cm="1">
        <f t="array" ref="H12">_xll.BDP($B12,H$2)</f>
        <v>1.96</v>
      </c>
      <c r="I12" s="8" cm="1">
        <f t="array" ref="I12">_xll.BDP($C12,I$2)</f>
        <v>0.46500000000000002</v>
      </c>
      <c r="J12" s="9" cm="1">
        <f t="array" ref="J12">_xll.BDP($D12,J$2)</f>
        <v>3.88</v>
      </c>
      <c r="K12" s="8" cm="1">
        <f t="array" ref="K12">_xll.BDP($E12,K$2)</f>
        <v>1.31</v>
      </c>
      <c r="M12" s="12" t="s">
        <v>19</v>
      </c>
      <c r="N12" s="14">
        <f t="shared" si="0"/>
        <v>12.43</v>
      </c>
      <c r="O12" s="15">
        <f t="shared" si="1"/>
        <v>13.875</v>
      </c>
      <c r="P12" s="15">
        <f t="shared" si="2"/>
        <v>11.914999999999999</v>
      </c>
      <c r="Q12" s="15">
        <f t="shared" si="3"/>
        <v>15.68</v>
      </c>
      <c r="R12" s="15">
        <f t="shared" si="4"/>
        <v>11.8</v>
      </c>
    </row>
    <row r="13" spans="1:18" s="2" customFormat="1" x14ac:dyDescent="0.2">
      <c r="A13" s="2" t="s">
        <v>22</v>
      </c>
      <c r="B13" s="2" t="s">
        <v>85</v>
      </c>
      <c r="C13" s="2" t="s">
        <v>86</v>
      </c>
      <c r="D13" s="2" t="s">
        <v>87</v>
      </c>
      <c r="E13" s="2" t="s">
        <v>88</v>
      </c>
      <c r="F13" s="3" t="s">
        <v>21</v>
      </c>
      <c r="G13" s="8" cm="1">
        <f t="array" ref="G13">_xll.BDP($A13,G$2)</f>
        <v>12.36</v>
      </c>
      <c r="H13" s="8" cm="1">
        <f t="array" ref="H13">_xll.BDP($B13,H$2)</f>
        <v>1.9675</v>
      </c>
      <c r="I13" s="8" cm="1">
        <f t="array" ref="I13">_xll.BDP($C13,I$2)</f>
        <v>0.49</v>
      </c>
      <c r="J13" s="8" cm="1">
        <f t="array" ref="J13">_xll.BDP($D13,J$2)</f>
        <v>3.9449999999999998</v>
      </c>
      <c r="K13" s="8" cm="1">
        <f t="array" ref="K13">_xll.BDP($E13,K$2)</f>
        <v>1.36</v>
      </c>
      <c r="M13" s="12" t="s">
        <v>21</v>
      </c>
      <c r="N13" s="14">
        <f t="shared" si="0"/>
        <v>12.36</v>
      </c>
      <c r="O13" s="16">
        <f t="shared" si="1"/>
        <v>13.83375</v>
      </c>
      <c r="P13" s="16">
        <f t="shared" si="2"/>
        <v>11.866249999999999</v>
      </c>
      <c r="Q13" s="16">
        <f t="shared" si="3"/>
        <v>15.692499999999999</v>
      </c>
      <c r="R13" s="16">
        <f t="shared" si="4"/>
        <v>11.747499999999999</v>
      </c>
    </row>
    <row r="14" spans="1:18" x14ac:dyDescent="0.2">
      <c r="A14" s="1" t="s">
        <v>24</v>
      </c>
      <c r="B14" s="1" t="s">
        <v>89</v>
      </c>
      <c r="C14" s="1" t="s">
        <v>90</v>
      </c>
      <c r="D14" s="1" t="s">
        <v>91</v>
      </c>
      <c r="E14" s="1" t="s">
        <v>92</v>
      </c>
      <c r="F14" s="3" t="s">
        <v>23</v>
      </c>
      <c r="G14" s="8" cm="1">
        <f t="array" ref="G14">_xll.BDP($A14,G$2)</f>
        <v>12.6</v>
      </c>
      <c r="H14" s="9" cm="1">
        <f t="array" ref="H14">_xll.BDP($B14,H$2)</f>
        <v>1.9750000000000001</v>
      </c>
      <c r="I14" s="8" cm="1">
        <f t="array" ref="I14">_xll.BDP($C14,I$2)</f>
        <v>0.5575</v>
      </c>
      <c r="J14" s="9" cm="1">
        <f t="array" ref="J14">_xll.BDP($D14,J$2)</f>
        <v>3.95</v>
      </c>
      <c r="K14" s="8" cm="1">
        <f t="array" ref="K14">_xll.BDP($E14,K$2)</f>
        <v>1.4875</v>
      </c>
      <c r="M14" s="12" t="s">
        <v>23</v>
      </c>
      <c r="N14" s="14">
        <f t="shared" si="0"/>
        <v>12.6</v>
      </c>
      <c r="O14" s="15">
        <f t="shared" si="1"/>
        <v>14.145</v>
      </c>
      <c r="P14" s="15">
        <f t="shared" si="2"/>
        <v>12.169999999999998</v>
      </c>
      <c r="Q14" s="15">
        <f t="shared" si="3"/>
        <v>16.0625</v>
      </c>
      <c r="R14" s="15">
        <f t="shared" si="4"/>
        <v>12.112500000000001</v>
      </c>
    </row>
    <row r="15" spans="1:18" x14ac:dyDescent="0.2">
      <c r="A15" s="1" t="s">
        <v>26</v>
      </c>
      <c r="B15" s="1" t="s">
        <v>93</v>
      </c>
      <c r="C15" s="1" t="s">
        <v>94</v>
      </c>
      <c r="D15" s="1" t="s">
        <v>95</v>
      </c>
      <c r="E15" s="1" t="s">
        <v>96</v>
      </c>
      <c r="F15" s="3" t="s">
        <v>25</v>
      </c>
      <c r="G15" s="8" cm="1">
        <f t="array" ref="G15">_xll.BDP($A15,G$2)</f>
        <v>12.72</v>
      </c>
      <c r="H15" s="9" cm="1">
        <f t="array" ref="H15">_xll.BDP($B15,H$2)</f>
        <v>1.9775</v>
      </c>
      <c r="I15" s="8" cm="1">
        <f t="array" ref="I15">_xll.BDP($C15,I$2)</f>
        <v>0.59750000000000003</v>
      </c>
      <c r="J15" s="9" cm="1">
        <f t="array" ref="J15">_xll.BDP($D15,J$2)</f>
        <v>3.9649999999999999</v>
      </c>
      <c r="K15" s="8" cm="1">
        <f t="array" ref="K15">_xll.BDP($E15,K$2)</f>
        <v>1.5575000000000001</v>
      </c>
      <c r="M15" s="12" t="s">
        <v>25</v>
      </c>
      <c r="N15" s="14">
        <f t="shared" si="0"/>
        <v>12.72</v>
      </c>
      <c r="O15" s="15">
        <f t="shared" si="1"/>
        <v>14.30625</v>
      </c>
      <c r="P15" s="15">
        <f t="shared" si="2"/>
        <v>12.328750000000001</v>
      </c>
      <c r="Q15" s="15">
        <f t="shared" si="3"/>
        <v>16.260000000000002</v>
      </c>
      <c r="R15" s="15">
        <f t="shared" si="4"/>
        <v>12.295000000000002</v>
      </c>
    </row>
    <row r="16" spans="1:18" x14ac:dyDescent="0.2">
      <c r="A16" s="1" t="s">
        <v>28</v>
      </c>
      <c r="B16" s="1" t="s">
        <v>97</v>
      </c>
      <c r="C16" s="1" t="s">
        <v>98</v>
      </c>
      <c r="D16" s="1" t="s">
        <v>99</v>
      </c>
      <c r="E16" s="1" t="s">
        <v>100</v>
      </c>
      <c r="F16" s="3" t="s">
        <v>27</v>
      </c>
      <c r="G16" s="8" cm="1">
        <f t="array" ref="G16">_xll.BDP($A16,G$2)</f>
        <v>12.8</v>
      </c>
      <c r="H16" s="9" cm="1">
        <f t="array" ref="H16">_xll.BDP($B16,H$2)</f>
        <v>1.9624999999999999</v>
      </c>
      <c r="I16" s="8" cm="1">
        <f t="array" ref="I16">_xll.BDP($C16,I$2)</f>
        <v>0.66249999999999998</v>
      </c>
      <c r="J16" s="9" cm="1">
        <f t="array" ref="J16">_xll.BDP($D16,J$2)</f>
        <v>4</v>
      </c>
      <c r="K16" s="8" cm="1">
        <f t="array" ref="K16">_xll.BDP($E16,K$2)</f>
        <v>1.7150000000000001</v>
      </c>
      <c r="M16" s="12" t="s">
        <v>27</v>
      </c>
      <c r="N16" s="14">
        <f t="shared" si="0"/>
        <v>12.8</v>
      </c>
      <c r="O16" s="15">
        <f t="shared" si="1"/>
        <v>14.44375</v>
      </c>
      <c r="P16" s="15">
        <f t="shared" si="2"/>
        <v>12.481250000000001</v>
      </c>
      <c r="Q16" s="15">
        <f t="shared" si="3"/>
        <v>16.515000000000001</v>
      </c>
      <c r="R16" s="15">
        <f t="shared" si="4"/>
        <v>12.515000000000001</v>
      </c>
    </row>
    <row r="17" spans="1:25" x14ac:dyDescent="0.2">
      <c r="A17" s="1" t="s">
        <v>30</v>
      </c>
      <c r="B17" s="1" t="s">
        <v>101</v>
      </c>
      <c r="C17" s="1" t="s">
        <v>102</v>
      </c>
      <c r="D17" s="1" t="s">
        <v>103</v>
      </c>
      <c r="E17" s="1" t="s">
        <v>104</v>
      </c>
      <c r="F17" s="3" t="s">
        <v>29</v>
      </c>
      <c r="G17" s="8" cm="1">
        <f t="array" ref="G17">_xll.BDP($A17,G$2)</f>
        <v>12.84</v>
      </c>
      <c r="H17" s="9" cm="1">
        <f t="array" ref="H17">_xll.BDP($B17,H$2)</f>
        <v>1.94</v>
      </c>
      <c r="I17" s="8" cm="1">
        <f t="array" ref="I17">_xll.BDP($C17,I$2)</f>
        <v>0.70750000000000002</v>
      </c>
      <c r="J17" s="9" cm="1">
        <f t="array" ref="J17">_xll.BDP($D17,J$2)</f>
        <v>4.0025000000000004</v>
      </c>
      <c r="K17" s="8" cm="1">
        <f t="array" ref="K17">_xll.BDP($E17,K$2)</f>
        <v>1.7975000000000001</v>
      </c>
      <c r="M17" s="12" t="s">
        <v>29</v>
      </c>
      <c r="N17" s="14">
        <f t="shared" si="0"/>
        <v>12.84</v>
      </c>
      <c r="O17" s="15">
        <f t="shared" si="1"/>
        <v>14.5175</v>
      </c>
      <c r="P17" s="15">
        <f t="shared" si="2"/>
        <v>12.577499999999999</v>
      </c>
      <c r="Q17" s="15">
        <f t="shared" si="3"/>
        <v>16.638750000000002</v>
      </c>
      <c r="R17" s="15">
        <f t="shared" si="4"/>
        <v>12.636249999999999</v>
      </c>
    </row>
    <row r="18" spans="1:25" x14ac:dyDescent="0.2">
      <c r="A18" s="1" t="s">
        <v>32</v>
      </c>
      <c r="B18" s="1" t="s">
        <v>105</v>
      </c>
      <c r="C18" s="1" t="s">
        <v>106</v>
      </c>
      <c r="D18" s="1" t="s">
        <v>107</v>
      </c>
      <c r="E18" s="1" t="s">
        <v>108</v>
      </c>
      <c r="F18" s="3" t="s">
        <v>31</v>
      </c>
      <c r="G18" s="8" cm="1">
        <f t="array" ref="G18">_xll.BDP($A18,G$2)</f>
        <v>13.21</v>
      </c>
      <c r="H18" s="9" cm="1">
        <f t="array" ref="H18">_xll.BDP($B18,H$2)</f>
        <v>1.9924999999999999</v>
      </c>
      <c r="I18" s="8" cm="1">
        <f t="array" ref="I18">_xll.BDP($C18,I$2)</f>
        <v>0.77</v>
      </c>
      <c r="J18" s="9" cm="1">
        <f t="array" ref="J18">_xll.BDP($D18,J$2)</f>
        <v>4.1449999999999996</v>
      </c>
      <c r="K18" s="8" cm="1">
        <f t="array" ref="K18">_xll.BDP($E18,K$2)</f>
        <v>1.94</v>
      </c>
      <c r="M18" s="12" t="s">
        <v>31</v>
      </c>
      <c r="N18" s="14">
        <f t="shared" si="0"/>
        <v>13.21</v>
      </c>
      <c r="O18" s="15">
        <f t="shared" si="1"/>
        <v>14.97625</v>
      </c>
      <c r="P18" s="15">
        <f t="shared" si="2"/>
        <v>12.983750000000001</v>
      </c>
      <c r="Q18" s="15">
        <f t="shared" si="3"/>
        <v>17.2225</v>
      </c>
      <c r="R18" s="15">
        <f t="shared" si="4"/>
        <v>13.077500000000001</v>
      </c>
    </row>
    <row r="19" spans="1:25" x14ac:dyDescent="0.2">
      <c r="A19" s="1" t="s">
        <v>34</v>
      </c>
      <c r="B19" s="1" t="s">
        <v>109</v>
      </c>
      <c r="C19" s="1" t="s">
        <v>110</v>
      </c>
      <c r="D19" s="1" t="s">
        <v>111</v>
      </c>
      <c r="E19" s="1" t="s">
        <v>112</v>
      </c>
      <c r="F19" s="3" t="s">
        <v>33</v>
      </c>
      <c r="G19" s="8" cm="1">
        <f t="array" ref="G19">_xll.BDP($A19,G$2)</f>
        <v>13.26</v>
      </c>
      <c r="H19" s="9" cm="1">
        <f t="array" ref="H19">_xll.BDP($B19,H$2)</f>
        <v>2.0699999999999998</v>
      </c>
      <c r="I19" s="8" cm="1">
        <f t="array" ref="I19">_xll.BDP($C19,I$2)</f>
        <v>0.83499999999999996</v>
      </c>
      <c r="J19" s="9" cm="1">
        <f t="array" ref="J19">_xll.BDP($D19,J$2)</f>
        <v>4.3550000000000004</v>
      </c>
      <c r="K19" s="8" cm="1">
        <f t="array" ref="K19">_xll.BDP($E19,K$2)</f>
        <v>2.0350000000000001</v>
      </c>
      <c r="M19" s="12" t="s">
        <v>33</v>
      </c>
      <c r="N19" s="14">
        <f t="shared" si="0"/>
        <v>13.26</v>
      </c>
      <c r="O19" s="15">
        <f t="shared" si="1"/>
        <v>15.129999999999999</v>
      </c>
      <c r="P19" s="15">
        <f t="shared" si="2"/>
        <v>13.059999999999999</v>
      </c>
      <c r="Q19" s="15">
        <f t="shared" si="3"/>
        <v>17.4725</v>
      </c>
      <c r="R19" s="15">
        <f t="shared" si="4"/>
        <v>13.1175</v>
      </c>
    </row>
    <row r="20" spans="1:25" x14ac:dyDescent="0.2">
      <c r="A20" s="1" t="s">
        <v>36</v>
      </c>
      <c r="B20" s="1" t="s">
        <v>113</v>
      </c>
      <c r="C20" s="1" t="s">
        <v>114</v>
      </c>
      <c r="D20" s="1" t="s">
        <v>115</v>
      </c>
      <c r="E20" s="1" t="s">
        <v>116</v>
      </c>
      <c r="F20" s="3" t="s">
        <v>35</v>
      </c>
      <c r="G20" s="8" cm="1">
        <f t="array" ref="G20">_xll.BDP($A20,G$2)</f>
        <v>13.3725</v>
      </c>
      <c r="H20" s="9" cm="1">
        <f t="array" ref="H20">_xll.BDP($B20,H$2)</f>
        <v>2.0775000000000001</v>
      </c>
      <c r="I20" s="8" cm="1">
        <f t="array" ref="I20">_xll.BDP($C20,I$2)</f>
        <v>0.85250000000000004</v>
      </c>
      <c r="J20" s="9" cm="1">
        <f t="array" ref="J20">_xll.BDP($D20,J$2)</f>
        <v>4.45</v>
      </c>
      <c r="K20" s="8" cm="1">
        <f t="array" ref="K20">_xll.BDP($E20,K$2)</f>
        <v>2.17</v>
      </c>
      <c r="M20" s="12" t="s">
        <v>35</v>
      </c>
      <c r="N20" s="14">
        <f t="shared" si="0"/>
        <v>13.3725</v>
      </c>
      <c r="O20" s="15">
        <f t="shared" si="1"/>
        <v>15.263750000000002</v>
      </c>
      <c r="P20" s="15">
        <f t="shared" si="2"/>
        <v>13.186250000000001</v>
      </c>
      <c r="Q20" s="15">
        <f t="shared" si="3"/>
        <v>17.767499999999998</v>
      </c>
      <c r="R20" s="15">
        <f t="shared" si="4"/>
        <v>13.317500000000001</v>
      </c>
    </row>
    <row r="21" spans="1:25" x14ac:dyDescent="0.2">
      <c r="A21" s="1" t="s">
        <v>38</v>
      </c>
      <c r="B21" s="1" t="s">
        <v>117</v>
      </c>
      <c r="C21" s="1" t="s">
        <v>118</v>
      </c>
      <c r="D21" s="1" t="s">
        <v>119</v>
      </c>
      <c r="E21" s="1" t="s">
        <v>120</v>
      </c>
      <c r="F21" s="3" t="s">
        <v>37</v>
      </c>
      <c r="G21" s="8" cm="1">
        <f t="array" ref="G21">_xll.BDP($A21,G$2)</f>
        <v>11.324999999999999</v>
      </c>
      <c r="H21" s="9" cm="1">
        <f t="array" ref="H21">_xll.BDP($B21,H$2)</f>
        <v>1.78</v>
      </c>
      <c r="I21" s="8" cm="1">
        <f t="array" ref="I21">_xll.BDP($C21,I$2)</f>
        <v>0.77749999999999997</v>
      </c>
      <c r="J21" s="9" cm="1">
        <f t="array" ref="J21">_xll.BDP($D21,J$2)</f>
        <v>3.88</v>
      </c>
      <c r="K21" s="8" cm="1">
        <f t="array" ref="K21">_xll.BDP($E21,K$2)</f>
        <v>2.2075</v>
      </c>
      <c r="M21" s="12" t="s">
        <v>37</v>
      </c>
      <c r="N21" s="14">
        <f t="shared" si="0"/>
        <v>11.324999999999999</v>
      </c>
      <c r="O21" s="15">
        <f t="shared" si="1"/>
        <v>12.9925</v>
      </c>
      <c r="P21" s="15">
        <f t="shared" si="2"/>
        <v>11.212499999999999</v>
      </c>
      <c r="Q21" s="15">
        <f t="shared" si="3"/>
        <v>15.472499999999998</v>
      </c>
      <c r="R21" s="15">
        <f t="shared" si="4"/>
        <v>11.592499999999999</v>
      </c>
    </row>
    <row r="22" spans="1:25" x14ac:dyDescent="0.2">
      <c r="A22" s="1"/>
      <c r="B22" s="1"/>
      <c r="C22" s="1"/>
      <c r="D22" s="1"/>
      <c r="E22" s="1"/>
      <c r="F22" s="5"/>
      <c r="G22" s="1"/>
      <c r="H22" s="1"/>
    </row>
    <row r="23" spans="1:25" x14ac:dyDescent="0.2">
      <c r="A23" s="1"/>
      <c r="B23" s="1"/>
      <c r="C23" s="1"/>
      <c r="D23" s="1"/>
      <c r="E23" s="1"/>
      <c r="F23" s="5"/>
      <c r="G23" s="1"/>
      <c r="H23" s="1"/>
    </row>
    <row r="24" spans="1:25" x14ac:dyDescent="0.2">
      <c r="F24" s="5"/>
    </row>
    <row r="28" spans="1:25" x14ac:dyDescent="0.2">
      <c r="T28">
        <v>16.745999999999999</v>
      </c>
      <c r="U28">
        <v>26.693999999999999</v>
      </c>
      <c r="V28">
        <v>15.439</v>
      </c>
      <c r="W28">
        <v>24.471</v>
      </c>
      <c r="X28">
        <f>+V28-T28</f>
        <v>-1.3069999999999986</v>
      </c>
      <c r="Y28">
        <f>+W28-U28</f>
        <v>-2.222999999999999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D043-BE0F-4098-A13B-B44FA79005B0}">
  <dimension ref="A1:Y28"/>
  <sheetViews>
    <sheetView topLeftCell="F1" zoomScale="90" zoomScaleNormal="90" workbookViewId="0">
      <selection activeCell="Q19" sqref="Q19"/>
    </sheetView>
  </sheetViews>
  <sheetFormatPr baseColWidth="10" defaultColWidth="9.140625" defaultRowHeight="12.75" outlineLevelCol="1" x14ac:dyDescent="0.2"/>
  <cols>
    <col min="1" max="1" width="24.5703125" hidden="1" customWidth="1" outlineLevel="1"/>
    <col min="2" max="2" width="26.7109375" hidden="1" customWidth="1" outlineLevel="1"/>
    <col min="3" max="5" width="24.5703125" hidden="1" customWidth="1" outlineLevel="1"/>
    <col min="6" max="6" width="9.28515625" style="7" customWidth="1" collapsed="1"/>
    <col min="7" max="7" width="8.5703125" customWidth="1"/>
    <col min="8" max="8" width="6.7109375" bestFit="1" customWidth="1"/>
    <col min="12" max="12" width="2.85546875" customWidth="1"/>
    <col min="13" max="13" width="11.140625" bestFit="1" customWidth="1"/>
    <col min="14" max="14" width="11.140625" customWidth="1"/>
    <col min="15" max="15" width="11.140625" bestFit="1" customWidth="1"/>
    <col min="16" max="16" width="10.85546875" bestFit="1" customWidth="1"/>
    <col min="17" max="17" width="11.140625" bestFit="1" customWidth="1"/>
    <col min="18" max="18" width="10.85546875" bestFit="1" customWidth="1"/>
  </cols>
  <sheetData>
    <row r="1" spans="1:18" x14ac:dyDescent="0.2">
      <c r="F1" s="3" t="s">
        <v>121</v>
      </c>
      <c r="G1" s="2" t="s">
        <v>0</v>
      </c>
      <c r="H1" s="2" t="s">
        <v>41</v>
      </c>
      <c r="I1" s="2" t="s">
        <v>42</v>
      </c>
      <c r="J1" s="2" t="s">
        <v>43</v>
      </c>
      <c r="K1" s="2" t="s">
        <v>44</v>
      </c>
      <c r="M1" s="3" t="s">
        <v>121</v>
      </c>
      <c r="N1" s="3" t="str">
        <f>+G1</f>
        <v>ATM</v>
      </c>
      <c r="O1" s="2" t="s">
        <v>122</v>
      </c>
      <c r="P1" s="2" t="s">
        <v>123</v>
      </c>
      <c r="Q1" s="2" t="s">
        <v>124</v>
      </c>
      <c r="R1" s="2" t="s">
        <v>125</v>
      </c>
    </row>
    <row r="2" spans="1:18" x14ac:dyDescent="0.2">
      <c r="A2" s="1" t="s">
        <v>0</v>
      </c>
      <c r="B2" s="1" t="s">
        <v>41</v>
      </c>
      <c r="C2" s="1" t="s">
        <v>42</v>
      </c>
      <c r="D2" s="1" t="s">
        <v>43</v>
      </c>
      <c r="E2" s="1" t="s">
        <v>44</v>
      </c>
      <c r="F2" s="3"/>
      <c r="G2" s="3" t="s">
        <v>126</v>
      </c>
      <c r="H2" s="3" t="s">
        <v>126</v>
      </c>
      <c r="I2" s="3" t="s">
        <v>126</v>
      </c>
      <c r="J2" s="3" t="s">
        <v>126</v>
      </c>
      <c r="K2" s="3" t="s">
        <v>126</v>
      </c>
      <c r="M2" s="3"/>
      <c r="N2" s="3" t="str">
        <f>+G2</f>
        <v>Mid</v>
      </c>
      <c r="O2" s="3" t="s">
        <v>126</v>
      </c>
      <c r="P2" s="3" t="s">
        <v>126</v>
      </c>
      <c r="Q2" s="3" t="s">
        <v>126</v>
      </c>
      <c r="R2" s="3" t="s">
        <v>126</v>
      </c>
    </row>
    <row r="3" spans="1:18" x14ac:dyDescent="0.2">
      <c r="A3" s="1" t="s">
        <v>128</v>
      </c>
      <c r="B3" s="1" t="s">
        <v>129</v>
      </c>
      <c r="C3" s="1" t="s">
        <v>130</v>
      </c>
      <c r="D3" s="1" t="s">
        <v>131</v>
      </c>
      <c r="E3" s="1" t="s">
        <v>132</v>
      </c>
      <c r="F3" s="3" t="s">
        <v>1</v>
      </c>
      <c r="G3" s="8" cm="1">
        <f t="array" ref="G3">_xll.BDP($A3,G$2)</f>
        <v>13.71</v>
      </c>
      <c r="H3" s="9" cm="1">
        <f t="array" ref="H3">_xll.BDP($B3,H$2)</f>
        <v>0.82</v>
      </c>
      <c r="I3" s="8" cm="1">
        <f t="array" ref="I3">_xll.BDP($C3,I$2)</f>
        <v>0.21</v>
      </c>
      <c r="J3" s="9" cm="1">
        <f t="array" ref="J3">_xll.BDP($D3,J$2)</f>
        <v>1.59</v>
      </c>
      <c r="K3" s="8" cm="1">
        <f t="array" ref="K3">_xll.BDP($E3,K$2)</f>
        <v>0.79</v>
      </c>
      <c r="M3" s="3" t="s">
        <v>1</v>
      </c>
      <c r="N3" s="11">
        <f t="shared" ref="N3:N21" si="0">+G3</f>
        <v>13.71</v>
      </c>
      <c r="O3" s="10">
        <f>G3+H3*0.5+I3</f>
        <v>14.330000000000002</v>
      </c>
      <c r="P3" s="10">
        <f>G3-H3*0.5+I3</f>
        <v>13.510000000000002</v>
      </c>
      <c r="Q3" s="10">
        <f>G3+J3*0.5+K3</f>
        <v>15.295000000000002</v>
      </c>
      <c r="R3" s="10">
        <f>G3-J3*0.5+K3</f>
        <v>13.705000000000002</v>
      </c>
    </row>
    <row r="4" spans="1:18" x14ac:dyDescent="0.2">
      <c r="A4" s="1" t="s">
        <v>133</v>
      </c>
      <c r="B4" s="1" t="s">
        <v>134</v>
      </c>
      <c r="C4" s="1" t="s">
        <v>135</v>
      </c>
      <c r="D4" s="1" t="s">
        <v>136</v>
      </c>
      <c r="E4" s="1" t="s">
        <v>137</v>
      </c>
      <c r="F4" s="3" t="s">
        <v>3</v>
      </c>
      <c r="G4" s="8" cm="1">
        <f t="array" ref="G4">_xll.BDP($A4,G$2)</f>
        <v>11.5</v>
      </c>
      <c r="H4" s="9" cm="1">
        <f t="array" ref="H4">_xll.BDP($B4,H$2)</f>
        <v>1.46</v>
      </c>
      <c r="I4" s="8" cm="1">
        <f t="array" ref="I4">_xll.BDP($C4,I$2)</f>
        <v>0.25</v>
      </c>
      <c r="J4" s="9" cm="1">
        <f t="array" ref="J4">_xll.BDP($D4,J$2)</f>
        <v>2.85</v>
      </c>
      <c r="K4" s="8" cm="1">
        <f t="array" ref="K4">_xll.BDP($E4,K$2)</f>
        <v>1.02</v>
      </c>
      <c r="M4" s="3" t="s">
        <v>3</v>
      </c>
      <c r="N4" s="11">
        <f t="shared" si="0"/>
        <v>11.5</v>
      </c>
      <c r="O4" s="10">
        <f t="shared" ref="O4:O21" si="1">G4+H4*0.5+I4</f>
        <v>12.48</v>
      </c>
      <c r="P4" s="10">
        <f t="shared" ref="P4:P21" si="2">G4-H4*0.5+I4</f>
        <v>11.02</v>
      </c>
      <c r="Q4" s="10">
        <f t="shared" ref="Q4:Q21" si="3">G4+J4*0.5+K4</f>
        <v>13.945</v>
      </c>
      <c r="R4" s="10">
        <f t="shared" ref="R4:R21" si="4">G4-J4*0.5+K4</f>
        <v>11.094999999999999</v>
      </c>
    </row>
    <row r="5" spans="1:18" x14ac:dyDescent="0.2">
      <c r="A5" s="1" t="s">
        <v>138</v>
      </c>
      <c r="B5" s="1" t="s">
        <v>139</v>
      </c>
      <c r="C5" s="1" t="s">
        <v>140</v>
      </c>
      <c r="D5" s="1" t="s">
        <v>141</v>
      </c>
      <c r="E5" s="1" t="s">
        <v>142</v>
      </c>
      <c r="F5" s="3" t="s">
        <v>5</v>
      </c>
      <c r="G5" s="8" cm="1">
        <f t="array" ref="G5">_xll.BDP($A5,G$2)</f>
        <v>12.07</v>
      </c>
      <c r="H5" s="9" cm="1">
        <f t="array" ref="H5">_xll.BDP($B5,H$2)</f>
        <v>1.53</v>
      </c>
      <c r="I5" s="8" cm="1">
        <f t="array" ref="I5">_xll.BDP($C5,I$2)</f>
        <v>0.26</v>
      </c>
      <c r="J5" s="9" cm="1">
        <f t="array" ref="J5">_xll.BDP($D5,J$2)</f>
        <v>2.99</v>
      </c>
      <c r="K5" s="8" cm="1">
        <f t="array" ref="K5">_xll.BDP($E5,K$2)</f>
        <v>1.03</v>
      </c>
      <c r="M5" s="3" t="s">
        <v>5</v>
      </c>
      <c r="N5" s="11">
        <f t="shared" si="0"/>
        <v>12.07</v>
      </c>
      <c r="O5" s="10">
        <f t="shared" si="1"/>
        <v>13.095000000000001</v>
      </c>
      <c r="P5" s="10">
        <f t="shared" si="2"/>
        <v>11.565</v>
      </c>
      <c r="Q5" s="10">
        <f t="shared" si="3"/>
        <v>14.595000000000001</v>
      </c>
      <c r="R5" s="10">
        <f t="shared" si="4"/>
        <v>11.604999999999999</v>
      </c>
    </row>
    <row r="6" spans="1:18" x14ac:dyDescent="0.2">
      <c r="A6" s="1"/>
      <c r="B6" s="1"/>
      <c r="C6" s="1"/>
      <c r="D6" s="1"/>
      <c r="E6" s="1"/>
      <c r="F6" s="3" t="s">
        <v>7</v>
      </c>
      <c r="G6" s="8"/>
      <c r="H6" s="9"/>
      <c r="I6" s="8"/>
      <c r="J6" s="9"/>
      <c r="K6" s="8"/>
      <c r="M6" s="3" t="s">
        <v>7</v>
      </c>
      <c r="N6" s="11"/>
      <c r="O6" s="10"/>
      <c r="P6" s="10"/>
      <c r="Q6" s="10"/>
      <c r="R6" s="10"/>
    </row>
    <row r="7" spans="1:18" x14ac:dyDescent="0.2">
      <c r="A7" s="1" t="s">
        <v>143</v>
      </c>
      <c r="B7" s="1" t="s">
        <v>144</v>
      </c>
      <c r="C7" s="1" t="s">
        <v>145</v>
      </c>
      <c r="D7" s="1" t="s">
        <v>146</v>
      </c>
      <c r="E7" s="1" t="s">
        <v>147</v>
      </c>
      <c r="F7" s="3" t="s">
        <v>9</v>
      </c>
      <c r="G7" s="8" cm="1">
        <f t="array" ref="G7">_xll.BDP($A7,G$2)</f>
        <v>12.43</v>
      </c>
      <c r="H7" s="9" cm="1">
        <f t="array" ref="H7">_xll.BDP($B7,H$2)</f>
        <v>1.71</v>
      </c>
      <c r="I7" s="8" cm="1">
        <f t="array" ref="I7">_xll.BDP($C7,I$2)</f>
        <v>0.27</v>
      </c>
      <c r="J7" s="9" cm="1">
        <f t="array" ref="J7">_xll.BDP($D7,J$2)</f>
        <v>3.35</v>
      </c>
      <c r="K7" s="8" cm="1">
        <f t="array" ref="K7">_xll.BDP($E7,K$2)</f>
        <v>1.06</v>
      </c>
      <c r="M7" s="3" t="s">
        <v>9</v>
      </c>
      <c r="N7" s="11">
        <f t="shared" si="0"/>
        <v>12.43</v>
      </c>
      <c r="O7" s="10">
        <f t="shared" si="1"/>
        <v>13.555</v>
      </c>
      <c r="P7" s="10">
        <f t="shared" si="2"/>
        <v>11.844999999999999</v>
      </c>
      <c r="Q7" s="10">
        <f t="shared" si="3"/>
        <v>15.165000000000001</v>
      </c>
      <c r="R7" s="10">
        <f t="shared" si="4"/>
        <v>11.815</v>
      </c>
    </row>
    <row r="8" spans="1:18" x14ac:dyDescent="0.2">
      <c r="A8" s="1" t="s">
        <v>148</v>
      </c>
      <c r="B8" s="1" t="s">
        <v>149</v>
      </c>
      <c r="C8" s="1" t="s">
        <v>150</v>
      </c>
      <c r="D8" s="1" t="s">
        <v>151</v>
      </c>
      <c r="E8" s="1" t="s">
        <v>152</v>
      </c>
      <c r="F8" s="3" t="s">
        <v>11</v>
      </c>
      <c r="G8" s="8" cm="1">
        <f t="array" ref="G8">_xll.BDP($A8,G$2)</f>
        <v>12.5</v>
      </c>
      <c r="H8" s="9" cm="1">
        <f t="array" ref="H8">_xll.BDP($B8,H$2)</f>
        <v>1.78</v>
      </c>
      <c r="I8" s="8" cm="1">
        <f t="array" ref="I8">_xll.BDP($C8,I$2)</f>
        <v>0.28999999999999998</v>
      </c>
      <c r="J8" s="9" cm="1">
        <f t="array" ref="J8">_xll.BDP($D8,J$2)</f>
        <v>3.49</v>
      </c>
      <c r="K8" s="8" cm="1">
        <f t="array" ref="K8">_xll.BDP($E8,K$2)</f>
        <v>1.0900000000000001</v>
      </c>
      <c r="M8" s="3" t="s">
        <v>11</v>
      </c>
      <c r="N8" s="11">
        <f t="shared" si="0"/>
        <v>12.5</v>
      </c>
      <c r="O8" s="10">
        <f t="shared" si="1"/>
        <v>13.68</v>
      </c>
      <c r="P8" s="10">
        <f t="shared" si="2"/>
        <v>11.899999999999999</v>
      </c>
      <c r="Q8" s="10">
        <f t="shared" si="3"/>
        <v>15.335000000000001</v>
      </c>
      <c r="R8" s="10">
        <f t="shared" si="4"/>
        <v>11.844999999999999</v>
      </c>
    </row>
    <row r="9" spans="1:18" x14ac:dyDescent="0.2">
      <c r="A9" s="1" t="s">
        <v>153</v>
      </c>
      <c r="B9" s="1" t="s">
        <v>154</v>
      </c>
      <c r="C9" s="1" t="s">
        <v>155</v>
      </c>
      <c r="D9" s="1" t="s">
        <v>156</v>
      </c>
      <c r="E9" s="1" t="s">
        <v>157</v>
      </c>
      <c r="F9" s="3" t="s">
        <v>13</v>
      </c>
      <c r="G9" s="8" cm="1">
        <f t="array" ref="G9">_xll.BDP($A9,G$2)</f>
        <v>12.42</v>
      </c>
      <c r="H9" s="9" cm="1">
        <f t="array" ref="H9">_xll.BDP($B9,H$2)</f>
        <v>1.85</v>
      </c>
      <c r="I9" s="8" cm="1">
        <f t="array" ref="I9">_xll.BDP($C9,I$2)</f>
        <v>0.3</v>
      </c>
      <c r="J9" s="9" cm="1">
        <f t="array" ref="J9">_xll.BDP($D9,J$2)</f>
        <v>3.63</v>
      </c>
      <c r="K9" s="8" cm="1">
        <f t="array" ref="K9">_xll.BDP($E9,K$2)</f>
        <v>1.1299999999999999</v>
      </c>
      <c r="M9" s="3" t="s">
        <v>13</v>
      </c>
      <c r="N9" s="11">
        <f t="shared" si="0"/>
        <v>12.42</v>
      </c>
      <c r="O9" s="10">
        <f t="shared" si="1"/>
        <v>13.645000000000001</v>
      </c>
      <c r="P9" s="10">
        <f t="shared" si="2"/>
        <v>11.795</v>
      </c>
      <c r="Q9" s="10">
        <f t="shared" si="3"/>
        <v>15.364999999999998</v>
      </c>
      <c r="R9" s="10">
        <f t="shared" si="4"/>
        <v>11.734999999999999</v>
      </c>
    </row>
    <row r="10" spans="1:18" x14ac:dyDescent="0.2">
      <c r="A10" s="1"/>
      <c r="B10" s="1"/>
      <c r="C10" s="1"/>
      <c r="D10" s="1"/>
      <c r="E10" s="1"/>
      <c r="F10" s="3" t="s">
        <v>15</v>
      </c>
      <c r="G10" s="8"/>
      <c r="H10" s="9"/>
      <c r="I10" s="8"/>
      <c r="J10" s="9"/>
      <c r="K10" s="8"/>
      <c r="M10" s="3" t="s">
        <v>15</v>
      </c>
      <c r="N10" s="11"/>
      <c r="O10" s="10"/>
      <c r="P10" s="10"/>
      <c r="Q10" s="10"/>
      <c r="R10" s="10"/>
    </row>
    <row r="11" spans="1:18" x14ac:dyDescent="0.2">
      <c r="A11" s="1" t="s">
        <v>158</v>
      </c>
      <c r="B11" s="1" t="s">
        <v>159</v>
      </c>
      <c r="C11" s="1" t="s">
        <v>160</v>
      </c>
      <c r="D11" s="1" t="s">
        <v>161</v>
      </c>
      <c r="E11" s="1" t="s">
        <v>162</v>
      </c>
      <c r="F11" s="3" t="s">
        <v>17</v>
      </c>
      <c r="G11" s="8" cm="1">
        <f t="array" ref="G11">_xll.BDP($A11,G$2)</f>
        <v>12.29</v>
      </c>
      <c r="H11" s="9" cm="1">
        <f t="array" ref="H11">_xll.BDP($B11,H$2)</f>
        <v>1.94</v>
      </c>
      <c r="I11" s="8" cm="1">
        <f t="array" ref="I11">_xll.BDP($C11,I$2)</f>
        <v>0.34</v>
      </c>
      <c r="J11" s="9" cm="1">
        <f t="array" ref="J11">_xll.BDP($D11,J$2)</f>
        <v>3.82</v>
      </c>
      <c r="K11" s="8" cm="1">
        <f t="array" ref="K11">_xll.BDP($E11,K$2)</f>
        <v>1.24</v>
      </c>
      <c r="M11" s="3" t="s">
        <v>17</v>
      </c>
      <c r="N11" s="11">
        <f t="shared" si="0"/>
        <v>12.29</v>
      </c>
      <c r="O11" s="10">
        <f t="shared" si="1"/>
        <v>13.6</v>
      </c>
      <c r="P11" s="10">
        <f t="shared" si="2"/>
        <v>11.659999999999998</v>
      </c>
      <c r="Q11" s="10">
        <f t="shared" si="3"/>
        <v>15.44</v>
      </c>
      <c r="R11" s="10">
        <f t="shared" si="4"/>
        <v>11.62</v>
      </c>
    </row>
    <row r="12" spans="1:18" x14ac:dyDescent="0.2">
      <c r="A12" s="1" t="s">
        <v>163</v>
      </c>
      <c r="B12" s="1" t="s">
        <v>164</v>
      </c>
      <c r="C12" s="1" t="s">
        <v>165</v>
      </c>
      <c r="D12" s="1" t="s">
        <v>166</v>
      </c>
      <c r="E12" s="1" t="s">
        <v>167</v>
      </c>
      <c r="F12" s="3" t="s">
        <v>19</v>
      </c>
      <c r="G12" s="8" cm="1">
        <f t="array" ref="G12">_xll.BDP($A12,G$2)</f>
        <v>12.29</v>
      </c>
      <c r="H12" s="9" cm="1">
        <f t="array" ref="H12">_xll.BDP($B12,H$2)</f>
        <v>1.98</v>
      </c>
      <c r="I12" s="8" cm="1">
        <f t="array" ref="I12">_xll.BDP($C12,I$2)</f>
        <v>0.37</v>
      </c>
      <c r="J12" s="9" cm="1">
        <f t="array" ref="J12">_xll.BDP($D12,J$2)</f>
        <v>3.9</v>
      </c>
      <c r="K12" s="8" cm="1">
        <f t="array" ref="K12">_xll.BDP($E12,K$2)</f>
        <v>1.31</v>
      </c>
      <c r="M12" s="3" t="s">
        <v>19</v>
      </c>
      <c r="N12" s="11">
        <f t="shared" si="0"/>
        <v>12.29</v>
      </c>
      <c r="O12" s="10">
        <f t="shared" si="1"/>
        <v>13.649999999999999</v>
      </c>
      <c r="P12" s="10">
        <f t="shared" si="2"/>
        <v>11.669999999999998</v>
      </c>
      <c r="Q12" s="10">
        <f t="shared" si="3"/>
        <v>15.549999999999999</v>
      </c>
      <c r="R12" s="10">
        <f t="shared" si="4"/>
        <v>11.65</v>
      </c>
    </row>
    <row r="13" spans="1:18" s="2" customFormat="1" x14ac:dyDescent="0.2">
      <c r="A13" s="2" t="s">
        <v>168</v>
      </c>
      <c r="B13" s="2" t="s">
        <v>169</v>
      </c>
      <c r="C13" s="2" t="s">
        <v>170</v>
      </c>
      <c r="D13" s="2" t="s">
        <v>171</v>
      </c>
      <c r="E13" s="2" t="s">
        <v>172</v>
      </c>
      <c r="F13" s="3" t="s">
        <v>21</v>
      </c>
      <c r="G13" s="8" cm="1">
        <f t="array" ref="G13">_xll.BDP($A13,G$2)</f>
        <v>12.3</v>
      </c>
      <c r="H13" s="8" cm="1">
        <f t="array" ref="H13">_xll.BDP($B13,H$2)</f>
        <v>2</v>
      </c>
      <c r="I13" s="8" cm="1">
        <f t="array" ref="I13">_xll.BDP($C13,I$2)</f>
        <v>0.4</v>
      </c>
      <c r="J13" s="8" cm="1">
        <f t="array" ref="J13">_xll.BDP($D13,J$2)</f>
        <v>3.96</v>
      </c>
      <c r="K13" s="8" cm="1">
        <f t="array" ref="K13">_xll.BDP($E13,K$2)</f>
        <v>1.37</v>
      </c>
      <c r="M13" s="3" t="s">
        <v>21</v>
      </c>
      <c r="N13" s="11">
        <f t="shared" si="0"/>
        <v>12.3</v>
      </c>
      <c r="O13" s="8">
        <f t="shared" si="1"/>
        <v>13.700000000000001</v>
      </c>
      <c r="P13" s="8">
        <f t="shared" si="2"/>
        <v>11.700000000000001</v>
      </c>
      <c r="Q13" s="8">
        <f t="shared" si="3"/>
        <v>15.650000000000002</v>
      </c>
      <c r="R13" s="8">
        <f t="shared" si="4"/>
        <v>11.690000000000001</v>
      </c>
    </row>
    <row r="14" spans="1:18" x14ac:dyDescent="0.2">
      <c r="A14" s="1"/>
      <c r="B14" s="1"/>
      <c r="C14" s="1"/>
      <c r="D14" s="1"/>
      <c r="E14" s="1"/>
      <c r="F14" s="3"/>
      <c r="G14" s="8"/>
      <c r="H14" s="9"/>
      <c r="I14" s="8"/>
      <c r="J14" s="9"/>
      <c r="K14" s="8"/>
      <c r="M14" s="3" t="s">
        <v>23</v>
      </c>
      <c r="N14" s="11"/>
      <c r="O14" s="10"/>
      <c r="P14" s="10"/>
      <c r="Q14" s="10"/>
      <c r="R14" s="10"/>
    </row>
    <row r="15" spans="1:18" x14ac:dyDescent="0.2">
      <c r="A15" s="1" t="s">
        <v>173</v>
      </c>
      <c r="B15" s="1" t="s">
        <v>174</v>
      </c>
      <c r="C15" s="1" t="s">
        <v>175</v>
      </c>
      <c r="D15" s="1" t="s">
        <v>176</v>
      </c>
      <c r="E15" s="1" t="s">
        <v>177</v>
      </c>
      <c r="F15" s="3" t="s">
        <v>25</v>
      </c>
      <c r="G15" s="8" cm="1">
        <f t="array" ref="G15">_xll.BDP($A15,G$2)</f>
        <v>12.77</v>
      </c>
      <c r="H15" s="9" cm="1">
        <f t="array" ref="H15">_xll.BDP($B15,H$2)</f>
        <v>2.0099999999999998</v>
      </c>
      <c r="I15" s="8" cm="1">
        <f t="array" ref="I15">_xll.BDP($C15,I$2)</f>
        <v>0.51</v>
      </c>
      <c r="J15" s="9" cm="1">
        <f t="array" ref="J15">_xll.BDP($D15,J$2)</f>
        <v>4.0199999999999996</v>
      </c>
      <c r="K15" s="8" cm="1">
        <f t="array" ref="K15">_xll.BDP($E15,K$2)</f>
        <v>1.62</v>
      </c>
      <c r="M15" s="3" t="s">
        <v>25</v>
      </c>
      <c r="N15" s="11">
        <f t="shared" si="0"/>
        <v>12.77</v>
      </c>
      <c r="O15" s="10">
        <f t="shared" si="1"/>
        <v>14.284999999999998</v>
      </c>
      <c r="P15" s="10">
        <f t="shared" si="2"/>
        <v>12.275</v>
      </c>
      <c r="Q15" s="10">
        <f t="shared" si="3"/>
        <v>16.399999999999999</v>
      </c>
      <c r="R15" s="10">
        <f t="shared" si="4"/>
        <v>12.379999999999999</v>
      </c>
    </row>
    <row r="16" spans="1:18" x14ac:dyDescent="0.2">
      <c r="A16" s="1" t="s">
        <v>178</v>
      </c>
      <c r="B16" s="1" t="s">
        <v>179</v>
      </c>
      <c r="C16" s="1" t="s">
        <v>180</v>
      </c>
      <c r="D16" s="1" t="s">
        <v>181</v>
      </c>
      <c r="E16" s="1" t="s">
        <v>182</v>
      </c>
      <c r="F16" s="3" t="s">
        <v>27</v>
      </c>
      <c r="G16" s="8" cm="1">
        <f t="array" ref="G16">_xll.BDP($A16,G$2)</f>
        <v>12.64</v>
      </c>
      <c r="H16" s="9" cm="1">
        <f t="array" ref="H16">_xll.BDP($B16,H$2)</f>
        <v>2</v>
      </c>
      <c r="I16" s="8" cm="1">
        <f t="array" ref="I16">_xll.BDP($C16,I$2)</f>
        <v>0.57999999999999996</v>
      </c>
      <c r="J16" s="9" cm="1">
        <f t="array" ref="J16">_xll.BDP($D16,J$2)</f>
        <v>4.04</v>
      </c>
      <c r="K16" s="8" cm="1">
        <f t="array" ref="K16">_xll.BDP($E16,K$2)</f>
        <v>1.8</v>
      </c>
      <c r="M16" s="3" t="s">
        <v>27</v>
      </c>
      <c r="N16" s="11">
        <f t="shared" si="0"/>
        <v>12.64</v>
      </c>
      <c r="O16" s="10">
        <f t="shared" si="1"/>
        <v>14.22</v>
      </c>
      <c r="P16" s="10">
        <f t="shared" si="2"/>
        <v>12.22</v>
      </c>
      <c r="Q16" s="10">
        <f t="shared" si="3"/>
        <v>16.46</v>
      </c>
      <c r="R16" s="10">
        <f t="shared" si="4"/>
        <v>12.420000000000002</v>
      </c>
    </row>
    <row r="17" spans="1:25" x14ac:dyDescent="0.2">
      <c r="A17" s="1" t="s">
        <v>183</v>
      </c>
      <c r="B17" s="1" t="s">
        <v>184</v>
      </c>
      <c r="C17" s="1" t="s">
        <v>185</v>
      </c>
      <c r="D17" s="1" t="s">
        <v>186</v>
      </c>
      <c r="E17" s="1" t="s">
        <v>187</v>
      </c>
      <c r="F17" s="3" t="s">
        <v>29</v>
      </c>
      <c r="G17" s="8" cm="1">
        <f t="array" ref="G17">_xll.BDP($A17,G$2)</f>
        <v>12.62</v>
      </c>
      <c r="H17" s="9" cm="1">
        <f t="array" ref="H17">_xll.BDP($B17,H$2)</f>
        <v>1.97</v>
      </c>
      <c r="I17" s="8" cm="1">
        <f t="array" ref="I17">_xll.BDP($C17,I$2)</f>
        <v>0.65</v>
      </c>
      <c r="J17" s="9" cm="1">
        <f t="array" ref="J17">_xll.BDP($D17,J$2)</f>
        <v>4.03</v>
      </c>
      <c r="K17" s="8" cm="1">
        <f t="array" ref="K17">_xll.BDP($E17,K$2)</f>
        <v>2</v>
      </c>
      <c r="M17" s="3" t="s">
        <v>29</v>
      </c>
      <c r="N17" s="11">
        <f t="shared" si="0"/>
        <v>12.62</v>
      </c>
      <c r="O17" s="10">
        <f t="shared" si="1"/>
        <v>14.254999999999999</v>
      </c>
      <c r="P17" s="10">
        <f t="shared" si="2"/>
        <v>12.285</v>
      </c>
      <c r="Q17" s="10">
        <f t="shared" si="3"/>
        <v>16.634999999999998</v>
      </c>
      <c r="R17" s="10">
        <f t="shared" si="4"/>
        <v>12.604999999999999</v>
      </c>
    </row>
    <row r="18" spans="1:25" x14ac:dyDescent="0.2">
      <c r="A18" s="1" t="s">
        <v>188</v>
      </c>
      <c r="B18" s="1" t="s">
        <v>189</v>
      </c>
      <c r="C18" s="1" t="s">
        <v>190</v>
      </c>
      <c r="D18" s="1" t="s">
        <v>191</v>
      </c>
      <c r="E18" s="1" t="s">
        <v>192</v>
      </c>
      <c r="F18" s="3" t="s">
        <v>31</v>
      </c>
      <c r="G18" s="8" cm="1">
        <f t="array" ref="G18">_xll.BDP($A18,G$2)</f>
        <v>12.6</v>
      </c>
      <c r="H18" s="9" cm="1">
        <f t="array" ref="H18">_xll.BDP($B18,H$2)</f>
        <v>1.95</v>
      </c>
      <c r="I18" s="8" cm="1">
        <f t="array" ref="I18">_xll.BDP($C18,I$2)</f>
        <v>0.72</v>
      </c>
      <c r="J18" s="9" cm="1">
        <f t="array" ref="J18">_xll.BDP($D18,J$2)</f>
        <v>4.05</v>
      </c>
      <c r="K18" s="8" cm="1">
        <f t="array" ref="K18">_xll.BDP($E18,K$2)</f>
        <v>2.2000000000000002</v>
      </c>
      <c r="M18" s="3" t="s">
        <v>31</v>
      </c>
      <c r="N18" s="11">
        <f t="shared" si="0"/>
        <v>12.6</v>
      </c>
      <c r="O18" s="10">
        <f t="shared" si="1"/>
        <v>14.295</v>
      </c>
      <c r="P18" s="10">
        <f t="shared" si="2"/>
        <v>12.345000000000001</v>
      </c>
      <c r="Q18" s="10">
        <f t="shared" si="3"/>
        <v>16.824999999999999</v>
      </c>
      <c r="R18" s="10">
        <f t="shared" si="4"/>
        <v>12.774999999999999</v>
      </c>
    </row>
    <row r="19" spans="1:25" x14ac:dyDescent="0.2">
      <c r="A19" s="1" t="s">
        <v>193</v>
      </c>
      <c r="B19" s="1" t="s">
        <v>194</v>
      </c>
      <c r="C19" s="1" t="s">
        <v>195</v>
      </c>
      <c r="D19" s="1" t="s">
        <v>196</v>
      </c>
      <c r="E19" s="1" t="s">
        <v>197</v>
      </c>
      <c r="F19" s="3" t="s">
        <v>33</v>
      </c>
      <c r="G19" s="8" cm="1">
        <f t="array" ref="G19">_xll.BDP($A19,G$2)</f>
        <v>12.56</v>
      </c>
      <c r="H19" s="9" cm="1">
        <f t="array" ref="H19">_xll.BDP($B19,H$2)</f>
        <v>1.91</v>
      </c>
      <c r="I19" s="8" cm="1">
        <f t="array" ref="I19">_xll.BDP($C19,I$2)</f>
        <v>0.79</v>
      </c>
      <c r="J19" s="9" cm="1">
        <f t="array" ref="J19">_xll.BDP($D19,J$2)</f>
        <v>4.05</v>
      </c>
      <c r="K19" s="8" cm="1">
        <f t="array" ref="K19">_xll.BDP($E19,K$2)</f>
        <v>2.37</v>
      </c>
      <c r="M19" s="3" t="s">
        <v>33</v>
      </c>
      <c r="N19" s="11">
        <f t="shared" si="0"/>
        <v>12.56</v>
      </c>
      <c r="O19" s="10">
        <f t="shared" si="1"/>
        <v>14.305</v>
      </c>
      <c r="P19" s="10">
        <f t="shared" si="2"/>
        <v>12.395</v>
      </c>
      <c r="Q19" s="10">
        <f t="shared" si="3"/>
        <v>16.955000000000002</v>
      </c>
      <c r="R19" s="10">
        <f t="shared" si="4"/>
        <v>12.905000000000001</v>
      </c>
    </row>
    <row r="20" spans="1:25" x14ac:dyDescent="0.2">
      <c r="A20" s="1" t="s">
        <v>198</v>
      </c>
      <c r="B20" s="1" t="s">
        <v>199</v>
      </c>
      <c r="C20" s="1" t="s">
        <v>200</v>
      </c>
      <c r="D20" s="1" t="s">
        <v>201</v>
      </c>
      <c r="E20" s="1" t="s">
        <v>202</v>
      </c>
      <c r="F20" s="3" t="s">
        <v>35</v>
      </c>
      <c r="G20" s="8" cm="1">
        <f t="array" ref="G20">_xll.BDP($A20,G$2)</f>
        <v>12.71</v>
      </c>
      <c r="H20" s="9" cm="1">
        <f t="array" ref="H20">_xll.BDP($B20,H$2)</f>
        <v>1.96</v>
      </c>
      <c r="I20" s="8" cm="1">
        <f t="array" ref="I20">_xll.BDP($C20,I$2)</f>
        <v>0.7</v>
      </c>
      <c r="J20" s="9" cm="1">
        <f t="array" ref="J20">_xll.BDP($D20,J$2)</f>
        <v>4.2699999999999996</v>
      </c>
      <c r="K20" s="8" cm="1">
        <f t="array" ref="K20">_xll.BDP($E20,K$2)</f>
        <v>2.56</v>
      </c>
      <c r="M20" s="3" t="s">
        <v>35</v>
      </c>
      <c r="N20" s="11">
        <f t="shared" si="0"/>
        <v>12.71</v>
      </c>
      <c r="O20" s="10">
        <f t="shared" si="1"/>
        <v>14.39</v>
      </c>
      <c r="P20" s="10">
        <f t="shared" si="2"/>
        <v>12.43</v>
      </c>
      <c r="Q20" s="10">
        <f t="shared" si="3"/>
        <v>17.405000000000001</v>
      </c>
      <c r="R20" s="10">
        <f t="shared" si="4"/>
        <v>13.135000000000002</v>
      </c>
    </row>
    <row r="21" spans="1:25" x14ac:dyDescent="0.2">
      <c r="A21" s="1" t="s">
        <v>203</v>
      </c>
      <c r="B21" s="1" t="s">
        <v>204</v>
      </c>
      <c r="C21" s="1" t="s">
        <v>205</v>
      </c>
      <c r="D21" s="1" t="s">
        <v>206</v>
      </c>
      <c r="E21" s="1" t="s">
        <v>207</v>
      </c>
      <c r="F21" s="3" t="s">
        <v>37</v>
      </c>
      <c r="G21" s="8" cm="1">
        <f t="array" ref="G21">_xll.BDP($A21,G$2)</f>
        <v>11.55</v>
      </c>
      <c r="H21" s="9" cm="1">
        <f t="array" ref="H21">_xll.BDP($B21,H$2)</f>
        <v>1.78</v>
      </c>
      <c r="I21" s="8" cm="1">
        <f t="array" ref="I21">_xll.BDP($C21,I$2)</f>
        <v>0.64</v>
      </c>
      <c r="J21" s="9" cm="1">
        <f t="array" ref="J21">_xll.BDP($D21,J$2)</f>
        <v>3.88</v>
      </c>
      <c r="K21" s="8" cm="1">
        <f t="array" ref="K21">_xll.BDP($E21,K$2)</f>
        <v>2.33</v>
      </c>
      <c r="M21" s="3" t="s">
        <v>37</v>
      </c>
      <c r="N21" s="11">
        <f t="shared" si="0"/>
        <v>11.55</v>
      </c>
      <c r="O21" s="10">
        <f t="shared" si="1"/>
        <v>13.080000000000002</v>
      </c>
      <c r="P21" s="10">
        <f t="shared" si="2"/>
        <v>11.3</v>
      </c>
      <c r="Q21" s="10">
        <f t="shared" si="3"/>
        <v>15.82</v>
      </c>
      <c r="R21" s="10">
        <f t="shared" si="4"/>
        <v>11.940000000000001</v>
      </c>
    </row>
    <row r="22" spans="1:25" x14ac:dyDescent="0.2">
      <c r="A22" s="1"/>
      <c r="B22" s="1"/>
      <c r="C22" s="1"/>
      <c r="D22" s="1"/>
      <c r="E22" s="1"/>
      <c r="F22" s="5"/>
      <c r="G22" s="1"/>
      <c r="H22" s="1"/>
    </row>
    <row r="23" spans="1:25" x14ac:dyDescent="0.2">
      <c r="A23" s="1"/>
      <c r="B23" s="1"/>
      <c r="C23" s="1"/>
      <c r="D23" s="1"/>
      <c r="E23" s="1"/>
      <c r="F23" s="5"/>
      <c r="G23" s="1"/>
      <c r="H23" s="1"/>
    </row>
    <row r="24" spans="1:25" x14ac:dyDescent="0.2">
      <c r="F24" s="5"/>
    </row>
    <row r="28" spans="1:25" x14ac:dyDescent="0.2">
      <c r="T28">
        <v>16.745999999999999</v>
      </c>
      <c r="U28">
        <v>26.693999999999999</v>
      </c>
      <c r="V28">
        <v>15.439</v>
      </c>
      <c r="W28">
        <v>24.471</v>
      </c>
      <c r="X28">
        <f>+V28-T28</f>
        <v>-1.3069999999999986</v>
      </c>
      <c r="Y28">
        <f>+W28-U28</f>
        <v>-2.222999999999999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DE8A-07EC-44B2-82D7-7DCE9FC72FD4}">
  <sheetPr>
    <tabColor rgb="FFFFFF00"/>
  </sheetPr>
  <dimension ref="A1:T52"/>
  <sheetViews>
    <sheetView tabSelected="1" workbookViewId="0">
      <selection activeCell="I4" sqref="I4"/>
    </sheetView>
  </sheetViews>
  <sheetFormatPr baseColWidth="10" defaultRowHeight="12.75" x14ac:dyDescent="0.2"/>
  <cols>
    <col min="1" max="1" width="19.5703125" bestFit="1" customWidth="1"/>
    <col min="2" max="2" width="12.7109375" style="7" bestFit="1" customWidth="1"/>
    <col min="8" max="8" width="11.5703125" customWidth="1"/>
    <col min="12" max="12" width="22.7109375" bestFit="1" customWidth="1"/>
  </cols>
  <sheetData>
    <row r="1" spans="1:19" x14ac:dyDescent="0.2">
      <c r="C1" s="19" t="s">
        <v>225</v>
      </c>
      <c r="D1" s="19" t="s">
        <v>225</v>
      </c>
      <c r="E1" s="18" t="s">
        <v>225</v>
      </c>
      <c r="F1" s="18" t="s">
        <v>226</v>
      </c>
      <c r="G1" s="18" t="s">
        <v>226</v>
      </c>
      <c r="H1" s="18" t="s">
        <v>226</v>
      </c>
      <c r="M1" s="7"/>
      <c r="N1" s="19" t="s">
        <v>225</v>
      </c>
      <c r="O1" s="19" t="s">
        <v>225</v>
      </c>
      <c r="P1" s="18" t="s">
        <v>225</v>
      </c>
      <c r="Q1" s="18" t="s">
        <v>226</v>
      </c>
      <c r="R1" s="18" t="s">
        <v>226</v>
      </c>
      <c r="S1" s="18" t="s">
        <v>226</v>
      </c>
    </row>
    <row r="2" spans="1:19" x14ac:dyDescent="0.2">
      <c r="B2" s="5" t="s">
        <v>121</v>
      </c>
      <c r="C2" s="19" t="s">
        <v>39</v>
      </c>
      <c r="D2" s="19" t="s">
        <v>40</v>
      </c>
      <c r="E2" s="18" t="s">
        <v>126</v>
      </c>
      <c r="F2" s="18" t="s">
        <v>39</v>
      </c>
      <c r="G2" s="18" t="s">
        <v>40</v>
      </c>
      <c r="H2" s="18" t="s">
        <v>126</v>
      </c>
      <c r="M2" s="5" t="s">
        <v>121</v>
      </c>
      <c r="N2" s="19" t="s">
        <v>39</v>
      </c>
      <c r="O2" s="19" t="s">
        <v>40</v>
      </c>
      <c r="P2" s="18" t="s">
        <v>126</v>
      </c>
      <c r="Q2" s="18" t="s">
        <v>39</v>
      </c>
      <c r="R2" s="18" t="s">
        <v>40</v>
      </c>
      <c r="S2" s="18" t="s">
        <v>126</v>
      </c>
    </row>
    <row r="3" spans="1:19" x14ac:dyDescent="0.2">
      <c r="A3" t="s">
        <v>208</v>
      </c>
      <c r="B3" s="7" t="s">
        <v>227</v>
      </c>
      <c r="C3" s="20" cm="1">
        <f t="array" ref="C3">_xll.BDP($A3,C$2)</f>
        <v>926.3</v>
      </c>
      <c r="D3" s="20" cm="1">
        <f t="array" ref="D3">_xll.BDP($A3,D$2)</f>
        <v>927.25</v>
      </c>
      <c r="E3" s="20" cm="1">
        <f t="array" ref="E3">_xll.BDP($A3,E$2)</f>
        <v>926.78</v>
      </c>
      <c r="F3" s="20" cm="1">
        <f t="array" ref="F3">_xll.BDP($A3,F$2)</f>
        <v>926.3</v>
      </c>
      <c r="G3" s="20" cm="1">
        <f t="array" ref="G3">_xll.BDP($A3,G$2)</f>
        <v>927.25</v>
      </c>
      <c r="H3" s="20" cm="1">
        <f t="array" ref="H3">_xll.BDP($A3,H$2)</f>
        <v>926.78</v>
      </c>
      <c r="I3" s="20"/>
      <c r="L3" t="s">
        <v>280</v>
      </c>
      <c r="M3" s="7" t="s">
        <v>227</v>
      </c>
      <c r="N3" s="20" cm="1">
        <f t="array" ref="N3">_xll.BDP($L3,N$2)</f>
        <v>1055.6099999999999</v>
      </c>
      <c r="O3" s="20" cm="1">
        <f t="array" ref="O3">_xll.BDP($L3,O$2)</f>
        <v>1056.68</v>
      </c>
      <c r="P3" s="8" cm="1">
        <f t="array" ref="P3">_xll.BDP($L3,P$2)</f>
        <v>1056.1500000000001</v>
      </c>
      <c r="Q3" s="8" cm="1">
        <f t="array" ref="Q3">_xll.BDP($L3,Q$2)</f>
        <v>1055.6099999999999</v>
      </c>
      <c r="R3" s="8" cm="1">
        <f t="array" ref="R3">_xll.BDP($L3,R$2)</f>
        <v>1056.68</v>
      </c>
      <c r="S3" s="8" cm="1">
        <f t="array" ref="S3">_xll.BDP($L3,S$2)</f>
        <v>1056.1500000000001</v>
      </c>
    </row>
    <row r="4" spans="1:19" x14ac:dyDescent="0.2">
      <c r="A4" t="s">
        <v>209</v>
      </c>
      <c r="B4" s="7" t="s">
        <v>228</v>
      </c>
      <c r="C4" s="20" cm="1">
        <f t="array" ref="C4">_xll.BDP($A4,C$2)</f>
        <v>-0.01</v>
      </c>
      <c r="D4" s="20" cm="1">
        <f t="array" ref="D4">_xll.BDP($A4,D$2)</f>
        <v>-0.01</v>
      </c>
      <c r="E4" s="8" cm="1">
        <f t="array" ref="E4">_xll.BDP($A4,E$2)</f>
        <v>-0.01</v>
      </c>
      <c r="F4" s="10">
        <f t="shared" ref="F4:H4" si="0">C4+F$3</f>
        <v>926.29</v>
      </c>
      <c r="G4" s="10">
        <f t="shared" si="0"/>
        <v>927.24</v>
      </c>
      <c r="H4" s="16">
        <f t="shared" si="0"/>
        <v>926.77</v>
      </c>
      <c r="L4" t="s">
        <v>282</v>
      </c>
      <c r="M4" s="7" t="s">
        <v>229</v>
      </c>
      <c r="N4" s="20" cm="1">
        <f t="array" ref="N4">_xll.BDP($L4,N$2)</f>
        <v>0.21240000000000001</v>
      </c>
      <c r="O4" s="20" cm="1">
        <f t="array" ref="O4">_xll.BDP($L4,O$2)</f>
        <v>0.30819999999999997</v>
      </c>
      <c r="P4" s="8" cm="1">
        <f t="array" ref="P4">_xll.BDP($L4,P$2)</f>
        <v>0.26029999999999998</v>
      </c>
      <c r="Q4" s="10">
        <f t="shared" ref="Q4:Q16" si="1">N4+Q$3</f>
        <v>1055.8223999999998</v>
      </c>
      <c r="R4" s="10">
        <f t="shared" ref="R4:R16" si="2">O4+R$3</f>
        <v>1056.9882</v>
      </c>
      <c r="S4" s="16">
        <f t="shared" ref="S4:S16" si="3">P4+S$3</f>
        <v>1056.4103</v>
      </c>
    </row>
    <row r="5" spans="1:19" x14ac:dyDescent="0.2">
      <c r="A5" t="s">
        <v>210</v>
      </c>
      <c r="B5" s="7" t="s">
        <v>229</v>
      </c>
      <c r="C5" s="20" cm="1">
        <f t="array" ref="C5">_xll.BDP($A5,C$2)</f>
        <v>-7.0000000000000007E-2</v>
      </c>
      <c r="D5" s="20" cm="1">
        <f t="array" ref="D5">_xll.BDP($A5,D$2)</f>
        <v>0.01</v>
      </c>
      <c r="E5" s="8" cm="1">
        <f t="array" ref="E5">_xll.BDP($A5,E$2)</f>
        <v>-0.03</v>
      </c>
      <c r="F5" s="10">
        <f t="shared" ref="F5:F23" si="4">C5+F$3</f>
        <v>926.2299999999999</v>
      </c>
      <c r="G5" s="10">
        <f t="shared" ref="G5:G16" si="5">D5+G$3</f>
        <v>927.26</v>
      </c>
      <c r="H5" s="16">
        <f t="shared" ref="H5:H16" si="6">E5+H$3</f>
        <v>926.75</v>
      </c>
      <c r="L5" t="s">
        <v>283</v>
      </c>
      <c r="M5" s="7" t="s">
        <v>232</v>
      </c>
      <c r="N5" s="20" cm="1">
        <f t="array" ref="N5">_xll.BDP($L5,N$2)</f>
        <v>1.1872</v>
      </c>
      <c r="O5" s="20" cm="1">
        <f t="array" ref="O5">_xll.BDP($L5,O$2)</f>
        <v>1.3123</v>
      </c>
      <c r="P5" s="8" cm="1">
        <f t="array" ref="P5">_xll.BDP($L5,P$2)</f>
        <v>1.2498</v>
      </c>
      <c r="Q5" s="10">
        <f t="shared" si="1"/>
        <v>1056.7972</v>
      </c>
      <c r="R5" s="10">
        <f t="shared" si="2"/>
        <v>1057.9923000000001</v>
      </c>
      <c r="S5" s="16">
        <f t="shared" si="3"/>
        <v>1057.3998000000001</v>
      </c>
    </row>
    <row r="6" spans="1:19" x14ac:dyDescent="0.2">
      <c r="A6" t="s">
        <v>211</v>
      </c>
      <c r="B6" s="7" t="s">
        <v>230</v>
      </c>
      <c r="C6" s="20" cm="1">
        <f t="array" ref="C6">_xll.BDP($A6,C$2)</f>
        <v>-0.09</v>
      </c>
      <c r="D6" s="20" cm="1">
        <f t="array" ref="D6">_xll.BDP($A6,D$2)</f>
        <v>-0.01</v>
      </c>
      <c r="E6" s="8" cm="1">
        <f t="array" ref="E6">_xll.BDP($A6,E$2)</f>
        <v>-0.05</v>
      </c>
      <c r="F6" s="10">
        <f t="shared" si="4"/>
        <v>926.20999999999992</v>
      </c>
      <c r="G6" s="10">
        <f t="shared" si="5"/>
        <v>927.24</v>
      </c>
      <c r="H6" s="16">
        <f t="shared" si="6"/>
        <v>926.73</v>
      </c>
      <c r="L6" t="s">
        <v>284</v>
      </c>
      <c r="M6" s="7" t="s">
        <v>233</v>
      </c>
      <c r="N6" s="20" cm="1">
        <f t="array" ref="N6">_xll.BDP($L6,N$2)</f>
        <v>2.3086000000000002</v>
      </c>
      <c r="O6" s="20" cm="1">
        <f t="array" ref="O6">_xll.BDP($L6,O$2)</f>
        <v>2.5647000000000002</v>
      </c>
      <c r="P6" s="8" cm="1">
        <f t="array" ref="P6">_xll.BDP($L6,P$2)</f>
        <v>2.4367000000000001</v>
      </c>
      <c r="Q6" s="10">
        <f t="shared" si="1"/>
        <v>1057.9186</v>
      </c>
      <c r="R6" s="10">
        <f t="shared" si="2"/>
        <v>1059.2447</v>
      </c>
      <c r="S6" s="16">
        <f t="shared" si="3"/>
        <v>1058.5867000000001</v>
      </c>
    </row>
    <row r="7" spans="1:19" x14ac:dyDescent="0.2">
      <c r="A7" t="s">
        <v>212</v>
      </c>
      <c r="B7" s="7" t="s">
        <v>231</v>
      </c>
      <c r="C7" s="20" cm="1">
        <f t="array" ref="C7">_xll.BDP($A7,C$2)</f>
        <v>-0.08</v>
      </c>
      <c r="D7" s="20" cm="1">
        <f t="array" ref="D7">_xll.BDP($A7,D$2)</f>
        <v>-0.03</v>
      </c>
      <c r="E7" s="8" cm="1">
        <f t="array" ref="E7">_xll.BDP($A7,E$2)</f>
        <v>-0.06</v>
      </c>
      <c r="F7" s="10">
        <f t="shared" si="4"/>
        <v>926.21999999999991</v>
      </c>
      <c r="G7" s="10">
        <f t="shared" si="5"/>
        <v>927.22</v>
      </c>
      <c r="H7" s="16">
        <f t="shared" si="6"/>
        <v>926.72</v>
      </c>
      <c r="L7" t="s">
        <v>285</v>
      </c>
      <c r="M7" s="7" t="s">
        <v>234</v>
      </c>
      <c r="N7" s="20" cm="1">
        <f t="array" ref="N7">_xll.BDP($L7,N$2)</f>
        <v>3.3115999999999999</v>
      </c>
      <c r="O7" s="20" cm="1">
        <f t="array" ref="O7">_xll.BDP($L7,O$2)</f>
        <v>3.5493000000000001</v>
      </c>
      <c r="P7" s="8" cm="1">
        <f t="array" ref="P7">_xll.BDP($L7,P$2)</f>
        <v>3.4304999999999999</v>
      </c>
      <c r="Q7" s="10">
        <f t="shared" si="1"/>
        <v>1058.9215999999999</v>
      </c>
      <c r="R7" s="10">
        <f t="shared" si="2"/>
        <v>1060.2293</v>
      </c>
      <c r="S7" s="16">
        <f t="shared" si="3"/>
        <v>1059.5805</v>
      </c>
    </row>
    <row r="8" spans="1:19" x14ac:dyDescent="0.2">
      <c r="A8" t="s">
        <v>213</v>
      </c>
      <c r="B8" s="7" t="s">
        <v>232</v>
      </c>
      <c r="C8" s="20" cm="1">
        <f t="array" ref="C8">_xll.BDP($A8,C$2)</f>
        <v>-0.12</v>
      </c>
      <c r="D8" s="20" cm="1">
        <f t="array" ref="D8">_xll.BDP($A8,D$2)</f>
        <v>-0.02</v>
      </c>
      <c r="E8" s="8" cm="1">
        <f t="array" ref="E8">_xll.BDP($A8,E$2)</f>
        <v>-7.0000000000000007E-2</v>
      </c>
      <c r="F8" s="10">
        <f t="shared" si="4"/>
        <v>926.18</v>
      </c>
      <c r="G8" s="10">
        <f t="shared" si="5"/>
        <v>927.23</v>
      </c>
      <c r="H8" s="16">
        <f t="shared" si="6"/>
        <v>926.70999999999992</v>
      </c>
      <c r="L8" t="s">
        <v>286</v>
      </c>
      <c r="M8" s="7" t="s">
        <v>235</v>
      </c>
      <c r="N8" s="20" cm="1">
        <f t="array" ref="N8">_xll.BDP($L8,N$2)</f>
        <v>4.3254000000000001</v>
      </c>
      <c r="O8" s="20" cm="1">
        <f t="array" ref="O8">_xll.BDP($L8,O$2)</f>
        <v>4.6052999999999997</v>
      </c>
      <c r="P8" s="8" cm="1">
        <f t="array" ref="P8">_xll.BDP($L8,P$2)</f>
        <v>4.4653</v>
      </c>
      <c r="Q8" s="10">
        <f t="shared" si="1"/>
        <v>1059.9353999999998</v>
      </c>
      <c r="R8" s="10">
        <f t="shared" si="2"/>
        <v>1061.2853</v>
      </c>
      <c r="S8" s="16">
        <f t="shared" si="3"/>
        <v>1060.6153000000002</v>
      </c>
    </row>
    <row r="9" spans="1:19" x14ac:dyDescent="0.2">
      <c r="A9" t="s">
        <v>214</v>
      </c>
      <c r="B9" s="7" t="s">
        <v>233</v>
      </c>
      <c r="C9" s="20" cm="1">
        <f t="array" ref="C9">_xll.BDP($A9,C$2)</f>
        <v>-0.33</v>
      </c>
      <c r="D9" s="20" cm="1">
        <f t="array" ref="D9">_xll.BDP($A9,D$2)</f>
        <v>-0.13</v>
      </c>
      <c r="E9" s="8" cm="1">
        <f t="array" ref="E9">_xll.BDP($A9,E$2)</f>
        <v>-0.23</v>
      </c>
      <c r="F9" s="10">
        <f t="shared" si="4"/>
        <v>925.96999999999991</v>
      </c>
      <c r="G9" s="10">
        <f t="shared" si="5"/>
        <v>927.12</v>
      </c>
      <c r="H9" s="16">
        <f t="shared" si="6"/>
        <v>926.55</v>
      </c>
      <c r="L9" t="s">
        <v>287</v>
      </c>
      <c r="M9" s="7" t="s">
        <v>236</v>
      </c>
      <c r="N9" s="20" cm="1">
        <f t="array" ref="N9">_xll.BDP($L9,N$2)</f>
        <v>5.3261000000000003</v>
      </c>
      <c r="O9" s="20" cm="1">
        <f t="array" ref="O9">_xll.BDP($L9,O$2)</f>
        <v>5.5423</v>
      </c>
      <c r="P9" s="8" cm="1">
        <f t="array" ref="P9">_xll.BDP($L9,P$2)</f>
        <v>5.4341999999999997</v>
      </c>
      <c r="Q9" s="10">
        <f t="shared" si="1"/>
        <v>1060.9360999999999</v>
      </c>
      <c r="R9" s="10">
        <f t="shared" si="2"/>
        <v>1062.2223000000001</v>
      </c>
      <c r="S9" s="16">
        <f t="shared" si="3"/>
        <v>1061.5842</v>
      </c>
    </row>
    <row r="10" spans="1:19" x14ac:dyDescent="0.2">
      <c r="A10" t="s">
        <v>215</v>
      </c>
      <c r="B10" s="7" t="s">
        <v>234</v>
      </c>
      <c r="C10" s="20" cm="1">
        <f t="array" ref="C10">_xll.BDP($A10,C$2)</f>
        <v>-0.49</v>
      </c>
      <c r="D10" s="20" cm="1">
        <f t="array" ref="D10">_xll.BDP($A10,D$2)</f>
        <v>-0.31</v>
      </c>
      <c r="E10" s="8" cm="1">
        <f t="array" ref="E10">_xll.BDP($A10,E$2)</f>
        <v>-0.4</v>
      </c>
      <c r="F10" s="10">
        <f t="shared" si="4"/>
        <v>925.81</v>
      </c>
      <c r="G10" s="10">
        <f t="shared" si="5"/>
        <v>926.94</v>
      </c>
      <c r="H10" s="16">
        <f t="shared" si="6"/>
        <v>926.38</v>
      </c>
      <c r="L10" t="s">
        <v>288</v>
      </c>
      <c r="M10" s="7" t="s">
        <v>237</v>
      </c>
      <c r="N10" s="20" cm="1">
        <f t="array" ref="N10">_xll.BDP($L10,N$2)</f>
        <v>6.2564000000000002</v>
      </c>
      <c r="O10" s="20" cm="1">
        <f t="array" ref="O10">_xll.BDP($L10,O$2)</f>
        <v>6.5526999999999997</v>
      </c>
      <c r="P10" s="8" cm="1">
        <f t="array" ref="P10">_xll.BDP($L10,P$2)</f>
        <v>6.4046000000000003</v>
      </c>
      <c r="Q10" s="10">
        <f t="shared" si="1"/>
        <v>1061.8663999999999</v>
      </c>
      <c r="R10" s="10">
        <f t="shared" si="2"/>
        <v>1063.2327</v>
      </c>
      <c r="S10" s="16">
        <f t="shared" si="3"/>
        <v>1062.5546000000002</v>
      </c>
    </row>
    <row r="11" spans="1:19" x14ac:dyDescent="0.2">
      <c r="A11" t="s">
        <v>216</v>
      </c>
      <c r="B11" s="7" t="s">
        <v>235</v>
      </c>
      <c r="C11" s="20" cm="1">
        <f t="array" ref="C11">_xll.BDP($A11,C$2)</f>
        <v>-0.7</v>
      </c>
      <c r="D11" s="20" cm="1">
        <f t="array" ref="D11">_xll.BDP($A11,D$2)</f>
        <v>-0.5</v>
      </c>
      <c r="E11" s="8" cm="1">
        <f t="array" ref="E11">_xll.BDP($A11,E$2)</f>
        <v>-0.6</v>
      </c>
      <c r="F11" s="10">
        <f t="shared" si="4"/>
        <v>925.59999999999991</v>
      </c>
      <c r="G11" s="10">
        <f t="shared" si="5"/>
        <v>926.75</v>
      </c>
      <c r="H11" s="16">
        <f t="shared" si="6"/>
        <v>926.18</v>
      </c>
      <c r="L11" t="s">
        <v>289</v>
      </c>
      <c r="M11" s="7" t="s">
        <v>238</v>
      </c>
      <c r="N11" s="20" cm="1">
        <f t="array" ref="N11">_xll.BDP($L11,N$2)</f>
        <v>9.2167999999999992</v>
      </c>
      <c r="O11" s="20" cm="1">
        <f t="array" ref="O11">_xll.BDP($L11,O$2)</f>
        <v>9.8690999999999995</v>
      </c>
      <c r="P11" s="8" cm="1">
        <f t="array" ref="P11">_xll.BDP($L11,P$2)</f>
        <v>9.5428999999999995</v>
      </c>
      <c r="Q11" s="10">
        <f t="shared" si="1"/>
        <v>1064.8267999999998</v>
      </c>
      <c r="R11" s="10">
        <f t="shared" si="2"/>
        <v>1066.5491</v>
      </c>
      <c r="S11" s="16">
        <f t="shared" si="3"/>
        <v>1065.6929</v>
      </c>
    </row>
    <row r="12" spans="1:19" x14ac:dyDescent="0.2">
      <c r="A12" t="s">
        <v>217</v>
      </c>
      <c r="B12" s="7" t="s">
        <v>236</v>
      </c>
      <c r="C12" s="20" cm="1">
        <f t="array" ref="C12">_xll.BDP($A12,C$2)</f>
        <v>-0.94</v>
      </c>
      <c r="D12" s="20" cm="1">
        <f t="array" ref="D12">_xll.BDP($A12,D$2)</f>
        <v>-0.8</v>
      </c>
      <c r="E12" s="8" cm="1">
        <f t="array" ref="E12">_xll.BDP($A12,E$2)</f>
        <v>-0.87</v>
      </c>
      <c r="F12" s="10">
        <f t="shared" si="4"/>
        <v>925.3599999999999</v>
      </c>
      <c r="G12" s="10">
        <f t="shared" si="5"/>
        <v>926.45</v>
      </c>
      <c r="H12" s="16">
        <f t="shared" si="6"/>
        <v>925.91</v>
      </c>
      <c r="L12" t="s">
        <v>291</v>
      </c>
      <c r="M12" s="7" t="s">
        <v>281</v>
      </c>
      <c r="N12" s="20" cm="1">
        <f t="array" ref="N12">_xll.BDP($L12,N$2)</f>
        <v>12.892899999999999</v>
      </c>
      <c r="O12" s="20" cm="1">
        <f t="array" ref="O12">_xll.BDP($L12,O$2)</f>
        <v>13.498799999999999</v>
      </c>
      <c r="P12" s="8" cm="1">
        <f t="array" ref="P12">_xll.BDP($L12,P$2)</f>
        <v>13.1959</v>
      </c>
      <c r="Q12" s="10">
        <f t="shared" si="1"/>
        <v>1068.5029</v>
      </c>
      <c r="R12" s="10">
        <f t="shared" si="2"/>
        <v>1070.1788000000001</v>
      </c>
      <c r="S12" s="16">
        <f t="shared" si="3"/>
        <v>1069.3459</v>
      </c>
    </row>
    <row r="13" spans="1:19" x14ac:dyDescent="0.2">
      <c r="A13" t="s">
        <v>218</v>
      </c>
      <c r="B13" s="7" t="s">
        <v>237</v>
      </c>
      <c r="C13" s="20" cm="1">
        <f t="array" ref="C13">_xll.BDP($A13,C$2)</f>
        <v>-1.29</v>
      </c>
      <c r="D13" s="20" cm="1">
        <f t="array" ref="D13">_xll.BDP($A13,D$2)</f>
        <v>-1.08</v>
      </c>
      <c r="E13" s="8" cm="1">
        <f t="array" ref="E13">_xll.BDP($A13,E$2)</f>
        <v>-1.18</v>
      </c>
      <c r="F13" s="10">
        <f t="shared" si="4"/>
        <v>925.01</v>
      </c>
      <c r="G13" s="10">
        <f t="shared" si="5"/>
        <v>926.17</v>
      </c>
      <c r="H13" s="16">
        <f t="shared" si="6"/>
        <v>925.6</v>
      </c>
      <c r="L13" t="s">
        <v>290</v>
      </c>
      <c r="M13" s="7" t="s">
        <v>240</v>
      </c>
      <c r="N13" s="20" cm="1">
        <f t="array" ref="N13">_xll.BDP($L13,N$2)</f>
        <v>29.525700000000001</v>
      </c>
      <c r="O13" s="20" cm="1">
        <f t="array" ref="O13">_xll.BDP($L13,O$2)</f>
        <v>32.150199999999998</v>
      </c>
      <c r="P13" s="8" cm="1">
        <f t="array" ref="P13">_xll.BDP($L13,P$2)</f>
        <v>30.837900000000001</v>
      </c>
      <c r="Q13" s="10">
        <f t="shared" si="1"/>
        <v>1085.1356999999998</v>
      </c>
      <c r="R13" s="10">
        <f t="shared" si="2"/>
        <v>1088.8302000000001</v>
      </c>
      <c r="S13" s="16">
        <f t="shared" si="3"/>
        <v>1086.9879000000001</v>
      </c>
    </row>
    <row r="14" spans="1:19" x14ac:dyDescent="0.2">
      <c r="A14" s="4" t="s">
        <v>273</v>
      </c>
      <c r="B14" s="7" t="s">
        <v>237</v>
      </c>
      <c r="C14" s="20" cm="1">
        <f t="array" ref="C14">_xll.BDP($A14,C$2)</f>
        <v>-1.49</v>
      </c>
      <c r="D14" s="20" cm="1">
        <f t="array" ref="D14">_xll.BDP($A14,D$2)</f>
        <v>-1.18</v>
      </c>
      <c r="E14" s="8" cm="1">
        <f t="array" ref="E14">_xll.BDP($A14,E$2)</f>
        <v>-1.34</v>
      </c>
      <c r="F14" s="10">
        <f t="shared" ref="F14" si="7">C14+F$3</f>
        <v>924.81</v>
      </c>
      <c r="G14" s="10">
        <f t="shared" si="5"/>
        <v>926.07</v>
      </c>
      <c r="H14" s="16">
        <f t="shared" si="6"/>
        <v>925.43999999999994</v>
      </c>
      <c r="L14" t="s">
        <v>292</v>
      </c>
      <c r="M14" s="7" t="s">
        <v>241</v>
      </c>
      <c r="N14" s="20" cm="1">
        <f t="array" ref="N14">_xll.BDP($L14,N$2)</f>
        <v>48.461799999999997</v>
      </c>
      <c r="O14" s="20" cm="1">
        <f t="array" ref="O14">_xll.BDP($L14,O$2)</f>
        <v>52.711300000000001</v>
      </c>
      <c r="P14" s="8" cm="1">
        <f t="array" ref="P14">_xll.BDP($L14,P$2)</f>
        <v>50.586599999999997</v>
      </c>
      <c r="Q14" s="10">
        <f t="shared" si="1"/>
        <v>1104.0717999999999</v>
      </c>
      <c r="R14" s="10">
        <f t="shared" si="2"/>
        <v>1109.3913</v>
      </c>
      <c r="S14" s="16">
        <f t="shared" si="3"/>
        <v>1106.7366000000002</v>
      </c>
    </row>
    <row r="15" spans="1:19" x14ac:dyDescent="0.2">
      <c r="A15" s="4" t="s">
        <v>274</v>
      </c>
      <c r="B15" s="7" t="s">
        <v>237</v>
      </c>
      <c r="C15" s="20" cm="1">
        <f t="array" ref="C15">_xll.BDP($A15,C$2)</f>
        <v>-1.72</v>
      </c>
      <c r="D15" s="20" cm="1">
        <f t="array" ref="D15">_xll.BDP($A15,D$2)</f>
        <v>-1.31</v>
      </c>
      <c r="E15" s="8" cm="1">
        <f t="array" ref="E15">_xll.BDP($A15,E$2)</f>
        <v>-1.51</v>
      </c>
      <c r="F15" s="10">
        <f t="shared" ref="F15" si="8">C15+F$3</f>
        <v>924.57999999999993</v>
      </c>
      <c r="G15" s="10">
        <f t="shared" si="5"/>
        <v>925.94</v>
      </c>
      <c r="H15" s="16">
        <f t="shared" si="6"/>
        <v>925.27</v>
      </c>
      <c r="L15" t="s">
        <v>293</v>
      </c>
      <c r="M15" s="7" t="s">
        <v>242</v>
      </c>
      <c r="N15" s="20" cm="1">
        <f t="array" ref="N15">_xll.BDP($L15,N$2)</f>
        <v>64.264300000000006</v>
      </c>
      <c r="O15" s="20" cm="1">
        <f t="array" ref="O15">_xll.BDP($L15,O$2)</f>
        <v>67.101600000000005</v>
      </c>
      <c r="P15" s="8" cm="1">
        <f t="array" ref="P15">_xll.BDP($L15,P$2)</f>
        <v>65.683000000000007</v>
      </c>
      <c r="Q15" s="10">
        <f t="shared" si="1"/>
        <v>1119.8742999999999</v>
      </c>
      <c r="R15" s="10">
        <f t="shared" si="2"/>
        <v>1123.7816</v>
      </c>
      <c r="S15" s="16">
        <f t="shared" si="3"/>
        <v>1121.8330000000001</v>
      </c>
    </row>
    <row r="16" spans="1:19" x14ac:dyDescent="0.2">
      <c r="A16" t="s">
        <v>219</v>
      </c>
      <c r="B16" s="7" t="s">
        <v>238</v>
      </c>
      <c r="C16" s="20" cm="1">
        <f t="array" ref="C16">_xll.BDP($A16,C$2)</f>
        <v>-1.92</v>
      </c>
      <c r="D16" s="20" cm="1">
        <f t="array" ref="D16">_xll.BDP($A16,D$2)</f>
        <v>-1.48</v>
      </c>
      <c r="E16" s="8" cm="1">
        <f t="array" ref="E16">_xll.BDP($A16,E$2)</f>
        <v>-1.7</v>
      </c>
      <c r="F16" s="10">
        <f t="shared" si="4"/>
        <v>924.38</v>
      </c>
      <c r="G16" s="10">
        <f t="shared" si="5"/>
        <v>925.77</v>
      </c>
      <c r="H16" s="16">
        <f t="shared" si="6"/>
        <v>925.07999999999993</v>
      </c>
      <c r="L16" t="s">
        <v>294</v>
      </c>
      <c r="M16" s="7" t="s">
        <v>278</v>
      </c>
      <c r="N16" s="20" cm="1">
        <f t="array" ref="N16">_xll.BDP($L16,N$2)</f>
        <v>104.8433</v>
      </c>
      <c r="O16" s="20" cm="1">
        <f t="array" ref="O16">_xll.BDP($L16,O$2)</f>
        <v>111.8485</v>
      </c>
      <c r="P16" s="8" cm="1">
        <f t="array" ref="P16">_xll.BDP($L16,P$2)</f>
        <v>108.3459</v>
      </c>
      <c r="Q16" s="10">
        <f t="shared" si="1"/>
        <v>1160.4532999999999</v>
      </c>
      <c r="R16" s="10">
        <f t="shared" si="2"/>
        <v>1168.5285000000001</v>
      </c>
      <c r="S16" s="16">
        <f t="shared" si="3"/>
        <v>1164.4959000000001</v>
      </c>
    </row>
    <row r="17" spans="1:20" x14ac:dyDescent="0.2">
      <c r="A17" s="4" t="s">
        <v>275</v>
      </c>
      <c r="B17" s="7" t="s">
        <v>238</v>
      </c>
      <c r="C17" s="20" cm="1">
        <f t="array" ref="C17">_xll.BDP($A17,C$2)</f>
        <v>-1.97</v>
      </c>
      <c r="D17" s="20" cm="1">
        <f t="array" ref="D17">_xll.BDP($A17,D$2)</f>
        <v>-1.56</v>
      </c>
      <c r="E17" s="8" cm="1">
        <f t="array" ref="E17">_xll.BDP($A17,E$2)</f>
        <v>-1.76</v>
      </c>
      <c r="F17" s="10">
        <f t="shared" ref="F17:F18" si="9">C17+F$3</f>
        <v>924.32999999999993</v>
      </c>
      <c r="G17" s="10">
        <f t="shared" ref="G17:G18" si="10">D17+G$3</f>
        <v>925.69</v>
      </c>
      <c r="H17" s="16">
        <f t="shared" ref="H17:H18" si="11">E17+H$3</f>
        <v>925.02</v>
      </c>
      <c r="L17" s="4"/>
      <c r="M17" s="7"/>
      <c r="N17" s="20"/>
      <c r="O17" s="20"/>
      <c r="P17" s="8"/>
      <c r="Q17" s="10"/>
      <c r="R17" s="10"/>
      <c r="S17" s="16"/>
    </row>
    <row r="18" spans="1:20" x14ac:dyDescent="0.2">
      <c r="A18" s="4" t="s">
        <v>276</v>
      </c>
      <c r="B18" s="7" t="s">
        <v>238</v>
      </c>
      <c r="C18" s="20" cm="1">
        <f t="array" ref="C18">_xll.BDP($A18,C$2)</f>
        <v>-2.0299999999999998</v>
      </c>
      <c r="D18" s="20" cm="1">
        <f t="array" ref="D18">_xll.BDP($A18,D$2)</f>
        <v>-1.62</v>
      </c>
      <c r="E18" s="8" cm="1">
        <f t="array" ref="E18">_xll.BDP($A18,E$2)</f>
        <v>-1.83</v>
      </c>
      <c r="F18" s="10">
        <f t="shared" si="9"/>
        <v>924.27</v>
      </c>
      <c r="G18" s="10">
        <f t="shared" si="10"/>
        <v>925.63</v>
      </c>
      <c r="H18" s="16">
        <f t="shared" si="11"/>
        <v>924.94999999999993</v>
      </c>
      <c r="L18" s="4"/>
      <c r="M18" s="7"/>
      <c r="N18" s="20"/>
      <c r="O18" s="20"/>
      <c r="P18" s="8"/>
      <c r="Q18" s="10"/>
      <c r="R18" s="10"/>
      <c r="S18" s="16"/>
    </row>
    <row r="19" spans="1:20" x14ac:dyDescent="0.2">
      <c r="A19" t="s">
        <v>220</v>
      </c>
      <c r="B19" s="7" t="s">
        <v>239</v>
      </c>
      <c r="C19" s="20" cm="1">
        <f t="array" ref="C19">_xll.BDP($A19,C$2)</f>
        <v>-2.0299999999999998</v>
      </c>
      <c r="D19" s="20" cm="1">
        <f t="array" ref="D19">_xll.BDP($A19,D$2)</f>
        <v>-1.63</v>
      </c>
      <c r="E19" s="8" cm="1">
        <f t="array" ref="E19">_xll.BDP($A19,E$2)</f>
        <v>-1.83</v>
      </c>
      <c r="F19" s="10">
        <f t="shared" si="4"/>
        <v>924.27</v>
      </c>
      <c r="G19" s="10">
        <f t="shared" ref="G19:H23" si="12">D19+G$3</f>
        <v>925.62</v>
      </c>
      <c r="H19" s="16">
        <f t="shared" si="12"/>
        <v>924.94999999999993</v>
      </c>
      <c r="M19" s="7"/>
      <c r="N19" s="20"/>
      <c r="O19" s="20"/>
      <c r="P19" s="8"/>
      <c r="Q19" s="10"/>
      <c r="R19" s="10"/>
      <c r="S19" s="16"/>
    </row>
    <row r="20" spans="1:20" x14ac:dyDescent="0.2">
      <c r="A20" t="s">
        <v>221</v>
      </c>
      <c r="B20" s="7" t="s">
        <v>23</v>
      </c>
      <c r="C20" s="20" cm="1">
        <f t="array" ref="C20">_xll.BDP($A20,C$2)</f>
        <v>-2.1800000000000002</v>
      </c>
      <c r="D20" s="20" cm="1">
        <f t="array" ref="D20">_xll.BDP($A20,D$2)</f>
        <v>-1.58</v>
      </c>
      <c r="E20" s="8" cm="1">
        <f t="array" ref="E20">_xll.BDP($A20,E$2)</f>
        <v>-1.88</v>
      </c>
      <c r="F20" s="10">
        <f t="shared" si="4"/>
        <v>924.12</v>
      </c>
      <c r="G20" s="10">
        <f t="shared" si="12"/>
        <v>925.67</v>
      </c>
      <c r="H20" s="16">
        <f t="shared" si="12"/>
        <v>924.9</v>
      </c>
      <c r="M20" s="7"/>
      <c r="N20" s="20"/>
      <c r="O20" s="20"/>
      <c r="P20" s="8"/>
      <c r="Q20" s="10"/>
      <c r="R20" s="10"/>
      <c r="S20" s="16"/>
    </row>
    <row r="21" spans="1:20" x14ac:dyDescent="0.2">
      <c r="A21" t="s">
        <v>222</v>
      </c>
      <c r="B21" s="7" t="s">
        <v>240</v>
      </c>
      <c r="C21" s="20" cm="1">
        <f t="array" ref="C21">_xll.BDP($A21,C$2)</f>
        <v>-0.52</v>
      </c>
      <c r="D21" s="20" cm="1">
        <f t="array" ref="D21">_xll.BDP($A21,D$2)</f>
        <v>1.3</v>
      </c>
      <c r="E21" s="8" cm="1">
        <f t="array" ref="E21">_xll.BDP($A21,E$2)</f>
        <v>0.39</v>
      </c>
      <c r="F21" s="10">
        <f t="shared" si="4"/>
        <v>925.78</v>
      </c>
      <c r="G21" s="10">
        <f t="shared" si="12"/>
        <v>928.55</v>
      </c>
      <c r="H21" s="16">
        <f t="shared" si="12"/>
        <v>927.17</v>
      </c>
      <c r="M21" s="7"/>
      <c r="N21" s="20"/>
      <c r="O21" s="20"/>
      <c r="P21" s="8"/>
      <c r="Q21" s="10"/>
      <c r="R21" s="10"/>
      <c r="S21" s="16"/>
    </row>
    <row r="22" spans="1:20" x14ac:dyDescent="0.2">
      <c r="A22" t="s">
        <v>223</v>
      </c>
      <c r="B22" s="5" t="s">
        <v>241</v>
      </c>
      <c r="C22" s="20" cm="1">
        <f t="array" ref="C22">_xll.BDP($A22,C$2)</f>
        <v>3.29</v>
      </c>
      <c r="D22" s="20" cm="1">
        <f t="array" ref="D22">_xll.BDP($A22,D$2)</f>
        <v>6.32</v>
      </c>
      <c r="E22" s="8" cm="1">
        <f t="array" ref="E22">_xll.BDP($A22,E$2)</f>
        <v>4.8</v>
      </c>
      <c r="F22" s="10">
        <f t="shared" si="4"/>
        <v>929.58999999999992</v>
      </c>
      <c r="G22" s="10">
        <f t="shared" si="12"/>
        <v>933.57</v>
      </c>
      <c r="H22" s="16">
        <f t="shared" si="12"/>
        <v>931.57999999999993</v>
      </c>
      <c r="M22" s="5"/>
      <c r="N22" s="20"/>
      <c r="O22" s="20"/>
      <c r="P22" s="8"/>
      <c r="Q22" s="10"/>
      <c r="R22" s="10"/>
      <c r="S22" s="16"/>
    </row>
    <row r="23" spans="1:20" x14ac:dyDescent="0.2">
      <c r="A23" s="4" t="s">
        <v>224</v>
      </c>
      <c r="B23" s="5" t="s">
        <v>242</v>
      </c>
      <c r="C23" s="20" cm="1">
        <f t="array" ref="C23">_xll.BDP($A23,C$2)</f>
        <v>4.92</v>
      </c>
      <c r="D23" s="20" cm="1">
        <f t="array" ref="D23">_xll.BDP($A23,D$2)</f>
        <v>6.55</v>
      </c>
      <c r="E23" s="8" cm="1">
        <f t="array" ref="E23">_xll.BDP($A23,E$2)</f>
        <v>5.74</v>
      </c>
      <c r="F23" s="10">
        <f t="shared" si="4"/>
        <v>931.21999999999991</v>
      </c>
      <c r="G23" s="10">
        <f t="shared" si="12"/>
        <v>933.8</v>
      </c>
      <c r="H23" s="16">
        <f t="shared" si="12"/>
        <v>932.52</v>
      </c>
      <c r="L23" s="4"/>
      <c r="M23" s="5"/>
      <c r="N23" s="20"/>
      <c r="O23" s="20"/>
      <c r="P23" s="8"/>
      <c r="Q23" s="10"/>
      <c r="R23" s="10"/>
      <c r="S23" s="16"/>
    </row>
    <row r="24" spans="1:20" x14ac:dyDescent="0.2">
      <c r="A24" s="4" t="s">
        <v>277</v>
      </c>
      <c r="B24" s="5" t="s">
        <v>278</v>
      </c>
      <c r="C24" s="20" cm="1">
        <f t="array" ref="C24">_xll.BDP($A24,C$2)</f>
        <v>26.9</v>
      </c>
      <c r="D24" s="20" cm="1">
        <f t="array" ref="D24">_xll.BDP($A24,D$2)</f>
        <v>31.71</v>
      </c>
      <c r="E24" s="8" cm="1">
        <f t="array" ref="E24">_xll.BDP($A24,E$2)</f>
        <v>29.31</v>
      </c>
      <c r="F24" s="10">
        <f t="shared" ref="F24" si="13">C24+F$3</f>
        <v>953.19999999999993</v>
      </c>
      <c r="G24" s="10">
        <f t="shared" ref="G24" si="14">D24+G$3</f>
        <v>958.96</v>
      </c>
      <c r="H24" s="16">
        <f t="shared" ref="H24" si="15">E24+H$3</f>
        <v>956.08999999999992</v>
      </c>
      <c r="L24" s="4"/>
      <c r="M24" s="5"/>
      <c r="N24" s="20"/>
      <c r="O24" s="20"/>
      <c r="P24" s="8"/>
      <c r="Q24" s="10"/>
      <c r="R24" s="10"/>
      <c r="S24" s="16"/>
    </row>
    <row r="25" spans="1:20" x14ac:dyDescent="0.2">
      <c r="N25" s="17"/>
      <c r="O25" s="17"/>
    </row>
    <row r="27" spans="1:20" ht="15" x14ac:dyDescent="0.25">
      <c r="I27" s="30" t="s">
        <v>272</v>
      </c>
      <c r="T27" s="30" t="s">
        <v>272</v>
      </c>
    </row>
    <row r="28" spans="1:20" x14ac:dyDescent="0.2">
      <c r="A28" s="29"/>
      <c r="B28" s="21">
        <f ca="1">TODAY()</f>
        <v>46217</v>
      </c>
      <c r="C28" s="22"/>
      <c r="D28" s="6"/>
      <c r="E28" s="1"/>
      <c r="F28" s="1"/>
      <c r="G28" s="13" t="s">
        <v>279</v>
      </c>
      <c r="H28" s="8">
        <f>H3</f>
        <v>926.78</v>
      </c>
      <c r="I28" s="12" t="s">
        <v>271</v>
      </c>
      <c r="S28" s="8">
        <f>S3</f>
        <v>1056.1500000000001</v>
      </c>
      <c r="T28" s="12" t="s">
        <v>295</v>
      </c>
    </row>
    <row r="29" spans="1:20" ht="18.75" x14ac:dyDescent="0.3">
      <c r="A29" s="23" t="s">
        <v>243</v>
      </c>
      <c r="B29" s="24" t="s">
        <v>244</v>
      </c>
      <c r="C29" s="25" t="s">
        <v>245</v>
      </c>
      <c r="D29" s="26" t="s">
        <v>246</v>
      </c>
      <c r="E29" s="26" t="s">
        <v>39</v>
      </c>
      <c r="F29" s="26" t="s">
        <v>40</v>
      </c>
      <c r="G29" s="30" t="s">
        <v>126</v>
      </c>
      <c r="H29" s="26" t="s">
        <v>226</v>
      </c>
      <c r="I29" s="30" t="s">
        <v>126</v>
      </c>
      <c r="Q29" s="24" t="s">
        <v>244</v>
      </c>
      <c r="R29" s="26" t="s">
        <v>246</v>
      </c>
      <c r="S29" s="26" t="s">
        <v>226</v>
      </c>
      <c r="T29" s="30" t="s">
        <v>126</v>
      </c>
    </row>
    <row r="30" spans="1:20" x14ac:dyDescent="0.2">
      <c r="A30" s="1" t="s">
        <v>247</v>
      </c>
      <c r="B30" s="5" t="s">
        <v>270</v>
      </c>
      <c r="C30" s="22">
        <v>1</v>
      </c>
      <c r="D30" s="6"/>
      <c r="E30" s="27">
        <f>_xll.BDP($A30, "bid")</f>
        <v>4.5</v>
      </c>
      <c r="F30" s="27">
        <f>_xll.BDP($A30, "ask")</f>
        <v>4.5</v>
      </c>
      <c r="G30" s="31">
        <f>_xll.BDP($A30, "mid")</f>
        <v>4.5</v>
      </c>
      <c r="H30" s="10">
        <f>H4</f>
        <v>926.77</v>
      </c>
      <c r="I30" s="15">
        <f>(H$28/H30*(1+G30*C30/36000)-1)*36000/C30</f>
        <v>4.8884944484566262</v>
      </c>
    </row>
    <row r="31" spans="1:20" x14ac:dyDescent="0.2">
      <c r="A31" s="4" t="s">
        <v>261</v>
      </c>
      <c r="B31" s="21" t="str" cm="1">
        <f t="array" ref="B31">_xll.BDP(A31, "maturity")</f>
        <v>20-08-2026</v>
      </c>
      <c r="C31" s="22">
        <f t="shared" ref="C31:C32" ca="1" si="16">B31-$B$28</f>
        <v>37</v>
      </c>
      <c r="D31" s="28">
        <f t="shared" ref="D31:D32" ca="1" si="17">YEARFRAC($B$28,B31,1)</f>
        <v>0.10136986301369863</v>
      </c>
      <c r="E31" s="27" cm="1">
        <f t="array" ref="E31">_xll.BDP($A31, "bid")</f>
        <v>4.4916999999999998</v>
      </c>
      <c r="F31" s="27" cm="1">
        <f t="array" ref="F31">_xll.BDP($A31, "ask")</f>
        <v>4.5183</v>
      </c>
      <c r="G31" s="31" cm="1">
        <f t="array" ref="G31">_xll.BDP($A31, "mid")</f>
        <v>4.5049999999999999</v>
      </c>
      <c r="H31" s="10">
        <f t="shared" ref="H31:H36" si="18">H8</f>
        <v>926.70999999999992</v>
      </c>
      <c r="I31" s="15">
        <f t="shared" ref="I31:I45" ca="1" si="19">(H$28/H31*(1+G31*C31/36000)-1)*36000/C31</f>
        <v>4.5788348114385551</v>
      </c>
      <c r="Q31" s="32" t="str">
        <f>+B31</f>
        <v>20-08-2026</v>
      </c>
      <c r="R31" s="32">
        <f ca="1">+D31</f>
        <v>0.10136986301369863</v>
      </c>
      <c r="S31" s="10">
        <f>+S5</f>
        <v>1057.3998000000001</v>
      </c>
      <c r="T31" s="33">
        <f ca="1">(S$28/S31*(1+G31*C31/36000)-1)*36000/C31</f>
        <v>3.3496640801128685</v>
      </c>
    </row>
    <row r="32" spans="1:20" x14ac:dyDescent="0.2">
      <c r="A32" s="4" t="s">
        <v>262</v>
      </c>
      <c r="B32" s="21" t="str" cm="1">
        <f t="array" ref="B32">_xll.BDP(A32, "maturity")</f>
        <v>20-09-2026</v>
      </c>
      <c r="C32" s="22">
        <f t="shared" ca="1" si="16"/>
        <v>68</v>
      </c>
      <c r="D32" s="28">
        <f t="shared" ca="1" si="17"/>
        <v>0.18630136986301371</v>
      </c>
      <c r="E32" s="27">
        <f>_xll.BDP($A32, "bid")</f>
        <v>4.4985999999999997</v>
      </c>
      <c r="F32" s="27">
        <f>_xll.BDP($A32, "ask")</f>
        <v>4.5313999999999997</v>
      </c>
      <c r="G32" s="31">
        <f>_xll.BDP($A32, "mid")</f>
        <v>4.5149999999999997</v>
      </c>
      <c r="H32" s="10">
        <f t="shared" si="18"/>
        <v>926.55</v>
      </c>
      <c r="I32" s="15">
        <f t="shared" ca="1" si="19"/>
        <v>4.6475380776884734</v>
      </c>
      <c r="Q32" s="32" t="str">
        <f t="shared" ref="Q32:Q46" si="20">+B32</f>
        <v>20-09-2026</v>
      </c>
      <c r="R32" s="32">
        <f t="shared" ref="R32:R46" ca="1" si="21">+D32</f>
        <v>0.18630136986301371</v>
      </c>
      <c r="S32" s="10">
        <f t="shared" ref="S32:S35" si="22">+S6</f>
        <v>1058.5867000000001</v>
      </c>
      <c r="T32" s="33">
        <f t="shared" ref="T32:T46" ca="1" si="23">(S$28/S32*(1+G32*C32/36000)-1)*36000/C32</f>
        <v>3.2859846084794628</v>
      </c>
    </row>
    <row r="33" spans="1:20" x14ac:dyDescent="0.2">
      <c r="A33" s="1" t="s">
        <v>248</v>
      </c>
      <c r="B33" s="21" t="str" cm="1">
        <f t="array" ref="B33">_xll.BDP(A33, "maturity")</f>
        <v>20-10-2026</v>
      </c>
      <c r="C33" s="22">
        <f ca="1">B33-$B$28</f>
        <v>98</v>
      </c>
      <c r="D33" s="28">
        <f ca="1">YEARFRAC($B$28,B33,1)</f>
        <v>0.26849315068493151</v>
      </c>
      <c r="E33" s="27">
        <f>_xll.BDP($A33, "bid")</f>
        <v>4.4943999999999997</v>
      </c>
      <c r="F33" s="27">
        <f>_xll.BDP($A33, "ask")</f>
        <v>4.5255999999999998</v>
      </c>
      <c r="G33" s="31">
        <f>_xll.BDP($A33, "mid")</f>
        <v>4.51</v>
      </c>
      <c r="H33" s="10">
        <f t="shared" si="18"/>
        <v>926.38</v>
      </c>
      <c r="I33" s="15">
        <f t="shared" ca="1" si="19"/>
        <v>4.6705634572315731</v>
      </c>
      <c r="Q33" s="32" t="str">
        <f t="shared" si="20"/>
        <v>20-10-2026</v>
      </c>
      <c r="R33" s="32">
        <f t="shared" ca="1" si="21"/>
        <v>0.26849315068493151</v>
      </c>
      <c r="S33" s="10">
        <f t="shared" si="22"/>
        <v>1059.5805</v>
      </c>
      <c r="T33" s="33">
        <f t="shared" ca="1" si="23"/>
        <v>3.3060752123416877</v>
      </c>
    </row>
    <row r="34" spans="1:20" x14ac:dyDescent="0.2">
      <c r="A34" s="4" t="s">
        <v>263</v>
      </c>
      <c r="B34" s="21" t="str" cm="1">
        <f t="array" ref="B34">_xll.BDP(A34, "maturity")</f>
        <v>20-11-2026</v>
      </c>
      <c r="C34" s="22">
        <f t="shared" ref="C34:C35" ca="1" si="24">B34-$B$28</f>
        <v>129</v>
      </c>
      <c r="D34" s="28">
        <f t="shared" ref="D34:D35" ca="1" si="25">YEARFRAC($B$28,B34,1)</f>
        <v>0.35342465753424657</v>
      </c>
      <c r="E34" s="27">
        <f>_xll.BDP($A34, "bid")</f>
        <v>4.4950000000000001</v>
      </c>
      <c r="F34" s="27">
        <f>_xll.BDP($A34, "ask")</f>
        <v>4.5289999999999999</v>
      </c>
      <c r="G34" s="31">
        <f>_xll.BDP($A34, "mid")</f>
        <v>4.5119999999999996</v>
      </c>
      <c r="H34" s="10">
        <f t="shared" si="18"/>
        <v>926.18</v>
      </c>
      <c r="I34" s="15">
        <f t="shared" ca="1" si="19"/>
        <v>4.6957105751205184</v>
      </c>
      <c r="Q34" s="32" t="str">
        <f t="shared" si="20"/>
        <v>20-11-2026</v>
      </c>
      <c r="R34" s="32">
        <f t="shared" ca="1" si="21"/>
        <v>0.35342465753424657</v>
      </c>
      <c r="S34" s="10">
        <f t="shared" si="22"/>
        <v>1060.6153000000002</v>
      </c>
      <c r="T34" s="33">
        <f t="shared" ca="1" si="23"/>
        <v>3.3180914582713119</v>
      </c>
    </row>
    <row r="35" spans="1:20" x14ac:dyDescent="0.2">
      <c r="A35" s="4" t="s">
        <v>264</v>
      </c>
      <c r="B35" s="21" t="str" cm="1">
        <f t="array" ref="B35">_xll.BDP(A35, "maturity")</f>
        <v>20-12-2026</v>
      </c>
      <c r="C35" s="22">
        <f t="shared" ca="1" si="24"/>
        <v>159</v>
      </c>
      <c r="D35" s="28">
        <f t="shared" ca="1" si="25"/>
        <v>0.43561643835616437</v>
      </c>
      <c r="E35" s="27">
        <f>_xll.BDP($A35, "bid")</f>
        <v>4.5030000000000001</v>
      </c>
      <c r="F35" s="27">
        <f>_xll.BDP($A35, "ask")</f>
        <v>4.5229999999999997</v>
      </c>
      <c r="G35" s="31">
        <f>_xll.BDP($A35, "mid")</f>
        <v>4.5129999999999999</v>
      </c>
      <c r="H35" s="10">
        <f t="shared" si="18"/>
        <v>925.91</v>
      </c>
      <c r="I35" s="15">
        <f t="shared" ca="1" si="19"/>
        <v>4.7299837695623195</v>
      </c>
      <c r="Q35" s="32" t="str">
        <f t="shared" si="20"/>
        <v>20-12-2026</v>
      </c>
      <c r="R35" s="32">
        <f t="shared" ca="1" si="21"/>
        <v>0.43561643835616437</v>
      </c>
      <c r="S35" s="10">
        <f t="shared" si="22"/>
        <v>1061.5842</v>
      </c>
      <c r="T35" s="33">
        <f t="shared" ca="1" si="23"/>
        <v>3.3308898571960515</v>
      </c>
    </row>
    <row r="36" spans="1:20" x14ac:dyDescent="0.2">
      <c r="A36" s="1" t="s">
        <v>249</v>
      </c>
      <c r="B36" s="21" t="str" cm="1">
        <f t="array" ref="B36">_xll.BDP(A36, "maturity")</f>
        <v>20-01-2027</v>
      </c>
      <c r="C36" s="22">
        <f t="shared" ref="C36:C52" ca="1" si="26">B36-$B$28</f>
        <v>190</v>
      </c>
      <c r="D36" s="28">
        <f t="shared" ref="D36:D52" ca="1" si="27">YEARFRAC($B$28,B36,1)</f>
        <v>0.52054794520547942</v>
      </c>
      <c r="E36" s="27">
        <f>_xll.BDP($A36, "bid")</f>
        <v>4.4987000000000004</v>
      </c>
      <c r="F36" s="27">
        <f>_xll.BDP($A36, "ask")</f>
        <v>4.5312999999999999</v>
      </c>
      <c r="G36" s="31">
        <f>_xll.BDP($A36, "mid")</f>
        <v>4.5149999999999997</v>
      </c>
      <c r="H36" s="10">
        <f t="shared" si="18"/>
        <v>925.6</v>
      </c>
      <c r="I36" s="15">
        <f t="shared" ca="1" si="19"/>
        <v>4.7623062309511868</v>
      </c>
      <c r="Q36" s="32" t="str">
        <f t="shared" si="20"/>
        <v>20-01-2027</v>
      </c>
      <c r="R36" s="32">
        <f t="shared" ca="1" si="21"/>
        <v>0.52054794520547942</v>
      </c>
      <c r="S36" s="10">
        <f>S10</f>
        <v>1062.5546000000002</v>
      </c>
      <c r="T36" s="33">
        <f t="shared" ca="1" si="23"/>
        <v>3.345723685263057</v>
      </c>
    </row>
    <row r="37" spans="1:20" x14ac:dyDescent="0.2">
      <c r="A37" s="4" t="s">
        <v>265</v>
      </c>
      <c r="B37" s="21" t="str" cm="1">
        <f t="array" ref="B37">_xll.BDP(A37, "maturity")</f>
        <v>20-02-2027</v>
      </c>
      <c r="C37" s="22">
        <f t="shared" ca="1" si="26"/>
        <v>221</v>
      </c>
      <c r="D37" s="28">
        <f t="shared" ref="D37" ca="1" si="28">YEARFRAC($B$28,B37,1)</f>
        <v>0.60547945205479448</v>
      </c>
      <c r="E37" s="27">
        <f>_xll.BDP($A37, "bid")</f>
        <v>4.5060000000000002</v>
      </c>
      <c r="F37" s="27">
        <f>_xll.BDP($A37, "ask")</f>
        <v>4.5259999999999998</v>
      </c>
      <c r="G37" s="31">
        <f>_xll.BDP($A37, "mid")</f>
        <v>4.516</v>
      </c>
      <c r="H37" s="10">
        <f t="shared" ref="H37:H38" si="29">H14</f>
        <v>925.43999999999994</v>
      </c>
      <c r="I37" s="15">
        <f t="shared" ca="1" si="19"/>
        <v>4.7584057561661535</v>
      </c>
      <c r="Q37" s="32"/>
      <c r="R37" s="32"/>
      <c r="T37" s="33"/>
    </row>
    <row r="38" spans="1:20" x14ac:dyDescent="0.2">
      <c r="A38" s="4" t="s">
        <v>266</v>
      </c>
      <c r="B38" s="21" t="str" cm="1">
        <f t="array" ref="B38">_xll.BDP(A38, "maturity")</f>
        <v>20-03-2027</v>
      </c>
      <c r="C38" s="22">
        <f t="shared" ca="1" si="26"/>
        <v>249</v>
      </c>
      <c r="D38" s="28">
        <f t="shared" ref="D38:D41" ca="1" si="30">YEARFRAC($B$28,B38,1)</f>
        <v>0.68219178082191778</v>
      </c>
      <c r="E38" s="27">
        <f>_xll.BDP($A38, "bid")</f>
        <v>4.5140000000000002</v>
      </c>
      <c r="F38" s="27">
        <f>_xll.BDP($A38, "ask")</f>
        <v>4.5359999999999996</v>
      </c>
      <c r="G38" s="31">
        <f>_xll.BDP($A38, "mid")</f>
        <v>4.5250000000000004</v>
      </c>
      <c r="H38" s="10">
        <f t="shared" si="29"/>
        <v>925.27</v>
      </c>
      <c r="I38" s="15">
        <f t="shared" ca="1" si="19"/>
        <v>4.7683300582662831</v>
      </c>
      <c r="Q38" s="32"/>
      <c r="R38" s="32"/>
      <c r="T38" s="33"/>
    </row>
    <row r="39" spans="1:20" x14ac:dyDescent="0.2">
      <c r="A39" s="4" t="s">
        <v>267</v>
      </c>
      <c r="B39" s="21" t="str" cm="1">
        <f t="array" ref="B39">_xll.BDP(A39, "maturity")</f>
        <v>20-04-2027</v>
      </c>
      <c r="C39" s="22">
        <f t="shared" ca="1" si="26"/>
        <v>280</v>
      </c>
      <c r="D39" s="28">
        <f t="shared" ca="1" si="30"/>
        <v>0.76712328767123283</v>
      </c>
      <c r="E39" s="27">
        <f>_xll.BDP($A39, "bid")</f>
        <v>4.5065</v>
      </c>
      <c r="F39" s="27">
        <f>_xll.BDP($A39, "ask")</f>
        <v>4.5434999999999999</v>
      </c>
      <c r="G39" s="31">
        <f>_xll.BDP($A39, "mid")</f>
        <v>4.5250000000000004</v>
      </c>
      <c r="H39" s="10">
        <f>H16</f>
        <v>925.07999999999993</v>
      </c>
      <c r="I39" s="15">
        <f t="shared" ca="1" si="19"/>
        <v>4.7695884989097568</v>
      </c>
      <c r="Q39" s="32" t="str">
        <f t="shared" si="20"/>
        <v>20-04-2027</v>
      </c>
      <c r="R39" s="32">
        <f t="shared" ca="1" si="21"/>
        <v>0.76712328767123283</v>
      </c>
      <c r="S39" s="10">
        <f>+S11</f>
        <v>1065.6929</v>
      </c>
      <c r="T39" s="33">
        <f t="shared" ca="1" si="23"/>
        <v>3.3331689310173132</v>
      </c>
    </row>
    <row r="40" spans="1:20" x14ac:dyDescent="0.2">
      <c r="A40" s="4" t="s">
        <v>268</v>
      </c>
      <c r="B40" s="21" t="str" cm="1">
        <f t="array" ref="B40">_xll.BDP(A40, "maturity")</f>
        <v>20-05-2027</v>
      </c>
      <c r="C40" s="22">
        <f t="shared" ca="1" si="26"/>
        <v>310</v>
      </c>
      <c r="D40" s="28">
        <f t="shared" ca="1" si="30"/>
        <v>0.84931506849315064</v>
      </c>
      <c r="E40" s="27">
        <f>_xll.BDP($A40, "bid")</f>
        <v>4.5065999999999997</v>
      </c>
      <c r="F40" s="27">
        <f>_xll.BDP($A40, "ask")</f>
        <v>4.5354000000000001</v>
      </c>
      <c r="G40" s="31">
        <f>_xll.BDP($A40, "mid")</f>
        <v>4.5209999999999999</v>
      </c>
      <c r="H40" s="10">
        <f t="shared" ref="H40:H41" si="31">H17</f>
        <v>925.02</v>
      </c>
      <c r="I40" s="15">
        <f t="shared" ca="1" si="19"/>
        <v>4.7505561790817517</v>
      </c>
      <c r="Q40" s="32"/>
      <c r="R40" s="32"/>
      <c r="T40" s="33"/>
    </row>
    <row r="41" spans="1:20" x14ac:dyDescent="0.2">
      <c r="A41" s="4" t="s">
        <v>269</v>
      </c>
      <c r="B41" s="21" t="str" cm="1">
        <f t="array" ref="B41">_xll.BDP(A41, "maturity")</f>
        <v>20-06-2027</v>
      </c>
      <c r="C41" s="22">
        <f t="shared" ca="1" si="26"/>
        <v>341</v>
      </c>
      <c r="D41" s="28">
        <f t="shared" ca="1" si="30"/>
        <v>0.9342465753424658</v>
      </c>
      <c r="E41" s="27">
        <f>_xll.BDP($A41, "bid")</f>
        <v>4.5125999999999999</v>
      </c>
      <c r="F41" s="27">
        <f>_xll.BDP($A41, "ask")</f>
        <v>4.5334000000000003</v>
      </c>
      <c r="G41" s="31">
        <f>_xll.BDP($A41, "mid")</f>
        <v>4.5229999999999997</v>
      </c>
      <c r="H41" s="10">
        <f t="shared" si="31"/>
        <v>924.94999999999993</v>
      </c>
      <c r="I41" s="15">
        <f t="shared" ca="1" si="19"/>
        <v>4.7408210399896307</v>
      </c>
      <c r="Q41" s="32"/>
      <c r="R41" s="32"/>
      <c r="T41" s="33"/>
    </row>
    <row r="42" spans="1:20" x14ac:dyDescent="0.2">
      <c r="A42" s="1" t="s">
        <v>250</v>
      </c>
      <c r="B42" s="21" t="str" cm="1">
        <f t="array" ref="B42">_xll.BDP(A42, "maturity")</f>
        <v>20-07-2027</v>
      </c>
      <c r="C42" s="22">
        <f t="shared" ca="1" si="26"/>
        <v>371</v>
      </c>
      <c r="D42" s="28">
        <f t="shared" ca="1" si="27"/>
        <v>1.0164383561643835</v>
      </c>
      <c r="E42" s="27">
        <f>_xll.BDP($A42, "bid")</f>
        <v>4.5411999999999999</v>
      </c>
      <c r="F42" s="27">
        <f>_xll.BDP($A42, "ask")</f>
        <v>4.5788000000000002</v>
      </c>
      <c r="G42" s="31">
        <f>_xll.BDP($A42, "mid")</f>
        <v>4.5599999999999996</v>
      </c>
      <c r="H42" s="10">
        <f>H19</f>
        <v>924.94999999999993</v>
      </c>
      <c r="I42" s="15">
        <f t="shared" ca="1" si="19"/>
        <v>4.7610042964367905</v>
      </c>
      <c r="Q42" s="32" t="str">
        <f t="shared" si="20"/>
        <v>20-07-2027</v>
      </c>
      <c r="R42" s="32">
        <f t="shared" ca="1" si="21"/>
        <v>1.0164383561643835</v>
      </c>
      <c r="S42" s="10">
        <f>+S12</f>
        <v>1069.3459</v>
      </c>
      <c r="T42" s="33">
        <f t="shared" ca="1" si="23"/>
        <v>3.3063008984960129</v>
      </c>
    </row>
    <row r="43" spans="1:20" x14ac:dyDescent="0.2">
      <c r="A43" s="1" t="s">
        <v>251</v>
      </c>
      <c r="B43" s="21" t="str" cm="1">
        <f t="array" ref="B43">_xll.BDP(A43, "maturity")</f>
        <v>20-07-2028</v>
      </c>
      <c r="C43" s="22">
        <f t="shared" ca="1" si="26"/>
        <v>737</v>
      </c>
      <c r="D43" s="28">
        <f t="shared" ca="1" si="27"/>
        <v>2.0173357664233578</v>
      </c>
      <c r="E43" s="27">
        <f>_xll.BDP($A43, "bid")</f>
        <v>4.6002999999999998</v>
      </c>
      <c r="F43" s="27">
        <f>_xll.BDP($A43, "ask")</f>
        <v>4.6397000000000004</v>
      </c>
      <c r="G43" s="31">
        <f>_xll.BDP($A43, "mid")</f>
        <v>4.62</v>
      </c>
      <c r="H43" s="10">
        <f>H21</f>
        <v>927.17</v>
      </c>
      <c r="I43" s="15">
        <f t="shared" ca="1" si="19"/>
        <v>4.5975100536818285</v>
      </c>
      <c r="Q43" s="32" t="str">
        <f t="shared" si="20"/>
        <v>20-07-2028</v>
      </c>
      <c r="R43" s="32">
        <f t="shared" ca="1" si="21"/>
        <v>2.0173357664233578</v>
      </c>
      <c r="S43" s="10">
        <f t="shared" ref="S43:S46" si="32">+S13</f>
        <v>1086.9879000000001</v>
      </c>
      <c r="T43" s="33">
        <f t="shared" ca="1" si="23"/>
        <v>3.1031477894558006</v>
      </c>
    </row>
    <row r="44" spans="1:20" x14ac:dyDescent="0.2">
      <c r="A44" s="1" t="s">
        <v>252</v>
      </c>
      <c r="B44" s="21" t="str" cm="1">
        <f t="array" ref="B44">_xll.BDP(A44, "maturity")</f>
        <v>20-07-2029</v>
      </c>
      <c r="C44" s="22">
        <f t="shared" ca="1" si="26"/>
        <v>1102</v>
      </c>
      <c r="D44" s="28">
        <f t="shared" ca="1" si="27"/>
        <v>3.0171115674195756</v>
      </c>
      <c r="E44" s="27">
        <f>_xll.BDP($A44, "bid")</f>
        <v>4.7050999999999998</v>
      </c>
      <c r="F44" s="27">
        <f>_xll.BDP($A44, "ask")</f>
        <v>4.7449000000000003</v>
      </c>
      <c r="G44" s="31">
        <f>_xll.BDP($A44, "mid")</f>
        <v>4.7249999999999996</v>
      </c>
      <c r="H44" s="10">
        <f>H22</f>
        <v>931.57999999999993</v>
      </c>
      <c r="I44" s="15">
        <f t="shared" ca="1" si="19"/>
        <v>4.5323318366404344</v>
      </c>
      <c r="Q44" s="32" t="str">
        <f t="shared" si="20"/>
        <v>20-07-2029</v>
      </c>
      <c r="R44" s="32">
        <f t="shared" ca="1" si="21"/>
        <v>3.0171115674195756</v>
      </c>
      <c r="S44" s="10">
        <f t="shared" si="32"/>
        <v>1106.7366000000002</v>
      </c>
      <c r="T44" s="33">
        <f t="shared" ca="1" si="23"/>
        <v>3.015850333487097</v>
      </c>
    </row>
    <row r="45" spans="1:20" x14ac:dyDescent="0.2">
      <c r="A45" s="1" t="s">
        <v>253</v>
      </c>
      <c r="B45" s="21" t="str" cm="1">
        <f t="array" ref="B45">_xll.BDP(A45, "maturity")</f>
        <v>20-07-2030</v>
      </c>
      <c r="C45" s="22">
        <f t="shared" ca="1" si="26"/>
        <v>1467</v>
      </c>
      <c r="D45" s="28">
        <f t="shared" ca="1" si="27"/>
        <v>4.0169769989047097</v>
      </c>
      <c r="E45" s="27">
        <f>_xll.BDP($A45, "bid")</f>
        <v>4.8170999999999999</v>
      </c>
      <c r="F45" s="27">
        <f>_xll.BDP($A45, "ask")</f>
        <v>4.8529</v>
      </c>
      <c r="G45" s="31">
        <f>_xll.BDP($A45, "mid")</f>
        <v>4.835</v>
      </c>
      <c r="H45" s="10">
        <f>H23</f>
        <v>932.52</v>
      </c>
      <c r="I45" s="15">
        <f t="shared" ca="1" si="19"/>
        <v>4.6541869389337247</v>
      </c>
      <c r="Q45" s="32" t="str">
        <f t="shared" si="20"/>
        <v>20-07-2030</v>
      </c>
      <c r="R45" s="32">
        <f t="shared" ca="1" si="21"/>
        <v>4.0169769989047097</v>
      </c>
      <c r="S45" s="10">
        <f t="shared" si="32"/>
        <v>1121.8330000000001</v>
      </c>
      <c r="T45" s="33">
        <f t="shared" ca="1" si="23"/>
        <v>3.1151093694549892</v>
      </c>
    </row>
    <row r="46" spans="1:20" x14ac:dyDescent="0.2">
      <c r="A46" s="1" t="s">
        <v>254</v>
      </c>
      <c r="B46" s="21" t="str" cm="1">
        <f t="array" ref="B46">_xll.BDP(A46, "maturity")</f>
        <v>20-07-2031</v>
      </c>
      <c r="C46" s="22">
        <f t="shared" ca="1" si="26"/>
        <v>1832</v>
      </c>
      <c r="D46" s="28">
        <f t="shared" ca="1" si="27"/>
        <v>5.0168872660885437</v>
      </c>
      <c r="E46" s="27">
        <f>_xll.BDP($A46, "bid")</f>
        <v>4.9058999999999999</v>
      </c>
      <c r="F46" s="27">
        <f>_xll.BDP($A46, "ask")</f>
        <v>4.9440999999999997</v>
      </c>
      <c r="G46" s="31">
        <f>_xll.BDP($A46, "mid")</f>
        <v>4.9249999999999998</v>
      </c>
      <c r="H46" s="10">
        <f>H24</f>
        <v>956.08999999999992</v>
      </c>
      <c r="I46" s="15">
        <f t="shared" ref="I46" ca="1" si="33">(H$28/H46*(1+G46*C46/36000)-1)*36000/C46</f>
        <v>4.1716060217239459</v>
      </c>
      <c r="Q46" s="32" t="str">
        <f t="shared" si="20"/>
        <v>20-07-2031</v>
      </c>
      <c r="R46" s="32">
        <f t="shared" ca="1" si="21"/>
        <v>5.0168872660885437</v>
      </c>
      <c r="S46" s="10">
        <f t="shared" si="32"/>
        <v>1164.4959000000001</v>
      </c>
      <c r="T46" s="33">
        <f t="shared" ca="1" si="23"/>
        <v>2.6384557009345175</v>
      </c>
    </row>
    <row r="47" spans="1:20" x14ac:dyDescent="0.2">
      <c r="A47" s="1" t="s">
        <v>255</v>
      </c>
      <c r="B47" s="21" t="str" cm="1">
        <f t="array" ref="B47">_xll.BDP(A47, "maturity")</f>
        <v>20-07-2032</v>
      </c>
      <c r="C47" s="22">
        <f t="shared" ca="1" si="26"/>
        <v>2198</v>
      </c>
      <c r="D47" s="28">
        <f t="shared" ca="1" si="27"/>
        <v>6.0172076652326947</v>
      </c>
      <c r="E47" s="27">
        <f>_xll.BDP($A47, "bid")</f>
        <v>5.0071000000000003</v>
      </c>
      <c r="F47" s="27">
        <f>_xll.BDP($A47, "ask")</f>
        <v>5.0429000000000004</v>
      </c>
      <c r="G47" s="27">
        <f>_xll.BDP($A47, "mid")</f>
        <v>5.0250000000000004</v>
      </c>
      <c r="H47" s="10"/>
      <c r="I47" s="10"/>
    </row>
    <row r="48" spans="1:20" x14ac:dyDescent="0.2">
      <c r="A48" s="1" t="s">
        <v>256</v>
      </c>
      <c r="B48" s="21" t="str" cm="1">
        <f t="array" ref="B48">_xll.BDP(A48, "maturity")</f>
        <v>20-07-2033</v>
      </c>
      <c r="C48" s="22">
        <f t="shared" ca="1" si="26"/>
        <v>2563</v>
      </c>
      <c r="D48" s="28">
        <f t="shared" ca="1" si="27"/>
        <v>7.0171115674195752</v>
      </c>
      <c r="E48" s="27">
        <f>_xll.BDP($A48, "bid")</f>
        <v>5.0854999999999997</v>
      </c>
      <c r="F48" s="27">
        <f>_xll.BDP($A48, "ask")</f>
        <v>5.1245000000000003</v>
      </c>
      <c r="G48" s="27">
        <f>_xll.BDP($A48, "mid")</f>
        <v>5.1050000000000004</v>
      </c>
    </row>
    <row r="49" spans="1:7" x14ac:dyDescent="0.2">
      <c r="A49" s="1" t="s">
        <v>257</v>
      </c>
      <c r="B49" s="21" t="str" cm="1">
        <f t="array" ref="B49">_xll.BDP(A49, "maturity")</f>
        <v>20-07-2034</v>
      </c>
      <c r="C49" s="22">
        <f t="shared" ca="1" si="26"/>
        <v>2928</v>
      </c>
      <c r="D49" s="28">
        <f t="shared" ca="1" si="27"/>
        <v>8.0170368116823845</v>
      </c>
      <c r="E49" s="27">
        <f>_xll.BDP($A49, "bid")</f>
        <v>5.1656000000000004</v>
      </c>
      <c r="F49" s="27">
        <f>_xll.BDP($A49, "ask")</f>
        <v>5.1943999999999999</v>
      </c>
      <c r="G49" s="27">
        <f>_xll.BDP($A49, "mid")</f>
        <v>5.18</v>
      </c>
    </row>
    <row r="50" spans="1:7" x14ac:dyDescent="0.2">
      <c r="A50" s="1" t="s">
        <v>258</v>
      </c>
      <c r="B50" s="21" t="str" cm="1">
        <f t="array" ref="B50">_xll.BDP(A50, "maturity")</f>
        <v>20-07-2035</v>
      </c>
      <c r="C50" s="22">
        <f t="shared" ca="1" si="26"/>
        <v>3293</v>
      </c>
      <c r="D50" s="28">
        <f t="shared" ca="1" si="27"/>
        <v>9.0169769989047097</v>
      </c>
      <c r="E50" s="27">
        <f>_xll.BDP($A50, "bid")</f>
        <v>5.2221000000000002</v>
      </c>
      <c r="F50" s="27">
        <f>_xll.BDP($A50, "ask")</f>
        <v>5.2579000000000002</v>
      </c>
      <c r="G50" s="27">
        <f>_xll.BDP($A50, "mid")</f>
        <v>5.24</v>
      </c>
    </row>
    <row r="51" spans="1:7" x14ac:dyDescent="0.2">
      <c r="A51" s="1" t="s">
        <v>259</v>
      </c>
      <c r="B51" s="21" t="str" cm="1">
        <f t="array" ref="B51">_xll.BDP(A51, "maturity")</f>
        <v>20-07-2036</v>
      </c>
      <c r="C51" s="22">
        <f t="shared" ca="1" si="26"/>
        <v>3659</v>
      </c>
      <c r="D51" s="28">
        <f t="shared" ca="1" si="27"/>
        <v>10.017172722747636</v>
      </c>
      <c r="E51" s="27">
        <f>_xll.BDP($A51, "bid")</f>
        <v>5.3052999999999999</v>
      </c>
      <c r="F51" s="27">
        <f>_xll.BDP($A51, "ask")</f>
        <v>5.3446999999999996</v>
      </c>
      <c r="G51" s="27">
        <f>_xll.BDP($A51, "mid")</f>
        <v>5.3250000000000002</v>
      </c>
    </row>
    <row r="52" spans="1:7" x14ac:dyDescent="0.2">
      <c r="A52" s="1" t="s">
        <v>260</v>
      </c>
      <c r="B52" s="21" t="str" cm="1">
        <f t="array" ref="B52">_xll.BDP(A52, "maturity")</f>
        <v>20-07-2046</v>
      </c>
      <c r="C52" s="22">
        <f t="shared" ca="1" si="26"/>
        <v>7311</v>
      </c>
      <c r="D52" s="28">
        <f t="shared" ca="1" si="27"/>
        <v>20.017079530638853</v>
      </c>
      <c r="E52" s="27">
        <f>_xll.BDP($A52, "bid")</f>
        <v>5.5872000000000002</v>
      </c>
      <c r="F52" s="27">
        <f>_xll.BDP($A52, "ask")</f>
        <v>5.6227999999999998</v>
      </c>
      <c r="G52" s="27">
        <f>_xll.BDP($A52, "mid")</f>
        <v>5.6050000000000004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736D-127B-42A3-941B-BC1EB84E5A66}">
  <sheetPr>
    <tabColor rgb="FFFFFF00"/>
  </sheetPr>
  <dimension ref="A1:H28"/>
  <sheetViews>
    <sheetView workbookViewId="0">
      <selection activeCell="F32" sqref="F32"/>
    </sheetView>
  </sheetViews>
  <sheetFormatPr baseColWidth="10" defaultRowHeight="12.75" x14ac:dyDescent="0.2"/>
  <cols>
    <col min="1" max="1" width="22.7109375" bestFit="1" customWidth="1"/>
  </cols>
  <sheetData>
    <row r="1" spans="1:8" x14ac:dyDescent="0.2">
      <c r="B1" s="7"/>
      <c r="C1" s="19" t="s">
        <v>225</v>
      </c>
      <c r="D1" s="19" t="s">
        <v>225</v>
      </c>
      <c r="E1" s="18" t="s">
        <v>225</v>
      </c>
      <c r="F1" s="18" t="s">
        <v>226</v>
      </c>
      <c r="G1" s="18" t="s">
        <v>226</v>
      </c>
      <c r="H1" s="18" t="s">
        <v>226</v>
      </c>
    </row>
    <row r="2" spans="1:8" x14ac:dyDescent="0.2">
      <c r="B2" s="5" t="s">
        <v>121</v>
      </c>
      <c r="C2" s="19" t="s">
        <v>39</v>
      </c>
      <c r="D2" s="19" t="s">
        <v>40</v>
      </c>
      <c r="E2" s="18" t="s">
        <v>126</v>
      </c>
      <c r="F2" s="18" t="s">
        <v>39</v>
      </c>
      <c r="G2" s="18" t="s">
        <v>40</v>
      </c>
      <c r="H2" s="18" t="s">
        <v>126</v>
      </c>
    </row>
    <row r="3" spans="1:8" x14ac:dyDescent="0.2">
      <c r="B3" s="5"/>
      <c r="C3" s="19"/>
      <c r="D3" s="19"/>
      <c r="E3" s="18"/>
      <c r="F3" s="18"/>
      <c r="G3" s="18"/>
      <c r="H3" s="18"/>
    </row>
    <row r="4" spans="1:8" x14ac:dyDescent="0.2">
      <c r="A4" t="s">
        <v>296</v>
      </c>
      <c r="B4" s="7" t="s">
        <v>321</v>
      </c>
      <c r="C4" s="20" cm="1">
        <f t="array" ref="C4">_xll.BDP($A4,C$2)</f>
        <v>0.41399999999999998</v>
      </c>
      <c r="D4" s="20" cm="1">
        <f t="array" ref="D4">_xll.BDP($A4,D$2)</f>
        <v>0.44600000000000001</v>
      </c>
      <c r="E4" s="8" cm="1">
        <f t="array" ref="E4">_xll.BDP($A4,E$2)</f>
        <v>0.43</v>
      </c>
      <c r="F4" s="35">
        <f>F$6-C4/10000</f>
        <v>1.1435586</v>
      </c>
      <c r="G4" s="35">
        <f t="shared" ref="G4" si="0">G$6-D4/10000</f>
        <v>1.1435553999999999</v>
      </c>
      <c r="H4" s="35">
        <f t="shared" ref="H4" si="1">H$6-E4/10000</f>
        <v>1.1435569999999999</v>
      </c>
    </row>
    <row r="5" spans="1:8" x14ac:dyDescent="0.2">
      <c r="A5" t="s">
        <v>297</v>
      </c>
      <c r="B5" s="7" t="s">
        <v>322</v>
      </c>
      <c r="C5" s="20" cm="1">
        <f t="array" ref="C5">_xll.BDP($A5,C$2)</f>
        <v>0.438</v>
      </c>
      <c r="D5" s="20" cm="1">
        <f t="array" ref="D5">_xll.BDP($A5,D$2)</f>
        <v>0.45100000000000001</v>
      </c>
      <c r="E5" s="8" cm="1">
        <f t="array" ref="E5">_xll.BDP($A5,E$2)</f>
        <v>0.44500000000000001</v>
      </c>
      <c r="F5" s="35">
        <f>F$6-C5/10000</f>
        <v>1.1435561999999999</v>
      </c>
      <c r="G5" s="35">
        <f t="shared" ref="G5:H5" si="2">G$6-D5/10000</f>
        <v>1.1435549</v>
      </c>
      <c r="H5" s="35">
        <f t="shared" si="2"/>
        <v>1.1435554999999999</v>
      </c>
    </row>
    <row r="6" spans="1:8" x14ac:dyDescent="0.2">
      <c r="A6" t="s">
        <v>298</v>
      </c>
      <c r="B6" s="7" t="s">
        <v>323</v>
      </c>
      <c r="F6" s="34" cm="1">
        <f t="array" ref="F6">_xll.BDP($A6,C$2)</f>
        <v>1.1435999999999999</v>
      </c>
      <c r="G6" s="34" cm="1">
        <f t="array" ref="G6">_xll.BDP($A6,D$2)</f>
        <v>1.1435999999999999</v>
      </c>
      <c r="H6" s="34" cm="1">
        <f t="array" ref="H6">_xll.BDP($A6,E$2)</f>
        <v>1.1435999999999999</v>
      </c>
    </row>
    <row r="7" spans="1:8" x14ac:dyDescent="0.2">
      <c r="A7" t="s">
        <v>299</v>
      </c>
      <c r="B7" s="7" t="s">
        <v>324</v>
      </c>
      <c r="C7" s="20" cm="1">
        <f t="array" ref="C7">_xll.BDP($A7,C$2)</f>
        <v>1.3420000000000001</v>
      </c>
      <c r="D7" s="20" cm="1">
        <f t="array" ref="D7">_xll.BDP($A7,D$2)</f>
        <v>1.361</v>
      </c>
      <c r="E7" s="8" cm="1">
        <f t="array" ref="E7">_xll.BDP($A7,E$2)</f>
        <v>1.3520000000000001</v>
      </c>
      <c r="F7" s="35">
        <f>F$6+C7/10000</f>
        <v>1.1437341999999999</v>
      </c>
      <c r="G7" s="35">
        <f t="shared" ref="G7:H7" si="3">G$6+D7/10000</f>
        <v>1.1437360999999999</v>
      </c>
      <c r="H7" s="35">
        <f t="shared" si="3"/>
        <v>1.1437351999999998</v>
      </c>
    </row>
    <row r="8" spans="1:8" x14ac:dyDescent="0.2">
      <c r="A8" t="s">
        <v>300</v>
      </c>
      <c r="B8" s="7" t="s">
        <v>3</v>
      </c>
      <c r="C8" s="20" cm="1">
        <f t="array" ref="C8">_xll.BDP($A8,C$2)</f>
        <v>3.15</v>
      </c>
      <c r="D8" s="20" cm="1">
        <f t="array" ref="D8">_xll.BDP($A8,D$2)</f>
        <v>3.19</v>
      </c>
      <c r="E8" s="8" cm="1">
        <f t="array" ref="E8">_xll.BDP($A8,E$2)</f>
        <v>3.17</v>
      </c>
      <c r="F8" s="35">
        <f t="shared" ref="F8:F28" si="4">F$6+C8/10000</f>
        <v>1.143915</v>
      </c>
      <c r="G8" s="35">
        <f t="shared" ref="G8:G28" si="5">G$6+D8/10000</f>
        <v>1.1439189999999999</v>
      </c>
      <c r="H8" s="35">
        <f t="shared" ref="H8:H28" si="6">H$6+E8/10000</f>
        <v>1.1439169999999999</v>
      </c>
    </row>
    <row r="9" spans="1:8" x14ac:dyDescent="0.2">
      <c r="A9" t="s">
        <v>301</v>
      </c>
      <c r="B9" s="7" t="s">
        <v>325</v>
      </c>
      <c r="C9" s="20" cm="1">
        <f t="array" ref="C9">_xll.BDP($A9,C$2)</f>
        <v>117.02</v>
      </c>
      <c r="D9" s="20" cm="1">
        <f t="array" ref="D9">_xll.BDP($A9,D$2)</f>
        <v>118.02</v>
      </c>
      <c r="E9" s="8" cm="1">
        <f t="array" ref="E9">_xll.BDP($A9,E$2)</f>
        <v>117.52</v>
      </c>
      <c r="F9" s="35">
        <f t="shared" si="4"/>
        <v>1.1553020000000001</v>
      </c>
      <c r="G9" s="35">
        <f t="shared" si="5"/>
        <v>1.155402</v>
      </c>
      <c r="H9" s="35">
        <f t="shared" si="6"/>
        <v>1.1553519999999999</v>
      </c>
    </row>
    <row r="10" spans="1:8" x14ac:dyDescent="0.2">
      <c r="A10" t="s">
        <v>302</v>
      </c>
      <c r="B10" s="7" t="s">
        <v>326</v>
      </c>
      <c r="C10" s="20" cm="1">
        <f t="array" ref="C10">_xll.BDP($A10,C$2)</f>
        <v>117.48</v>
      </c>
      <c r="D10" s="20" cm="1">
        <f t="array" ref="D10">_xll.BDP($A10,D$2)</f>
        <v>118.48</v>
      </c>
      <c r="E10" s="8" cm="1">
        <f t="array" ref="E10">_xll.BDP($A10,E$2)</f>
        <v>117.98</v>
      </c>
      <c r="F10" s="35">
        <f t="shared" si="4"/>
        <v>1.155348</v>
      </c>
      <c r="G10" s="35">
        <f t="shared" si="5"/>
        <v>1.155448</v>
      </c>
      <c r="H10" s="35">
        <f t="shared" si="6"/>
        <v>1.1553979999999999</v>
      </c>
    </row>
    <row r="11" spans="1:8" x14ac:dyDescent="0.2">
      <c r="A11" t="s">
        <v>303</v>
      </c>
      <c r="B11" s="7" t="s">
        <v>9</v>
      </c>
      <c r="C11" s="20" cm="1">
        <f t="array" ref="C11">_xll.BDP($A11,C$2)</f>
        <v>14.26</v>
      </c>
      <c r="D11" s="20" cm="1">
        <f t="array" ref="D11">_xll.BDP($A11,D$2)</f>
        <v>14.36</v>
      </c>
      <c r="E11" s="8" cm="1">
        <f t="array" ref="E11">_xll.BDP($A11,E$2)</f>
        <v>14.31</v>
      </c>
      <c r="F11" s="35">
        <f t="shared" si="4"/>
        <v>1.1450259999999999</v>
      </c>
      <c r="G11" s="35">
        <f t="shared" si="5"/>
        <v>1.1450359999999999</v>
      </c>
      <c r="H11" s="35">
        <f t="shared" si="6"/>
        <v>1.1450309999999999</v>
      </c>
    </row>
    <row r="12" spans="1:8" x14ac:dyDescent="0.2">
      <c r="A12" t="s">
        <v>304</v>
      </c>
      <c r="B12" s="7" t="s">
        <v>11</v>
      </c>
      <c r="C12" s="20" cm="1">
        <f t="array" ref="C12">_xll.BDP($A12,C$2)</f>
        <v>28.59</v>
      </c>
      <c r="D12" s="20" cm="1">
        <f t="array" ref="D12">_xll.BDP($A12,D$2)</f>
        <v>28.86</v>
      </c>
      <c r="E12" s="8" cm="1">
        <f t="array" ref="E12">_xll.BDP($A12,E$2)</f>
        <v>28.73</v>
      </c>
      <c r="F12" s="35">
        <f t="shared" si="4"/>
        <v>1.1464589999999999</v>
      </c>
      <c r="G12" s="35">
        <f t="shared" si="5"/>
        <v>1.1464859999999999</v>
      </c>
      <c r="H12" s="35">
        <f t="shared" si="6"/>
        <v>1.1464729999999999</v>
      </c>
    </row>
    <row r="13" spans="1:8" x14ac:dyDescent="0.2">
      <c r="A13" t="s">
        <v>305</v>
      </c>
      <c r="B13" s="7" t="s">
        <v>13</v>
      </c>
      <c r="C13" s="20" cm="1">
        <f t="array" ref="C13">_xll.BDP($A13,C$2)</f>
        <v>42.74</v>
      </c>
      <c r="D13" s="20" cm="1">
        <f t="array" ref="D13">_xll.BDP($A13,D$2)</f>
        <v>43.04</v>
      </c>
      <c r="E13" s="8" cm="1">
        <f t="array" ref="E13">_xll.BDP($A13,E$2)</f>
        <v>42.89</v>
      </c>
      <c r="F13" s="35">
        <f t="shared" si="4"/>
        <v>1.1478739999999998</v>
      </c>
      <c r="G13" s="35">
        <f t="shared" si="5"/>
        <v>1.147904</v>
      </c>
      <c r="H13" s="35">
        <f t="shared" si="6"/>
        <v>1.1478889999999999</v>
      </c>
    </row>
    <row r="14" spans="1:8" x14ac:dyDescent="0.2">
      <c r="A14" t="s">
        <v>306</v>
      </c>
      <c r="B14" s="7" t="s">
        <v>327</v>
      </c>
      <c r="C14" s="20" cm="1">
        <f t="array" ref="C14">_xll.BDP($A14,C$2)</f>
        <v>158.05000000000001</v>
      </c>
      <c r="D14" s="20" cm="1">
        <f t="array" ref="D14">_xll.BDP($A14,D$2)</f>
        <v>159.05000000000001</v>
      </c>
      <c r="E14" s="8" cm="1">
        <f t="array" ref="E14">_xll.BDP($A14,E$2)</f>
        <v>158.55000000000001</v>
      </c>
      <c r="F14" s="35">
        <f t="shared" si="4"/>
        <v>1.159405</v>
      </c>
      <c r="G14" s="35">
        <f t="shared" si="5"/>
        <v>1.159505</v>
      </c>
      <c r="H14" s="35">
        <f t="shared" si="6"/>
        <v>1.1594549999999999</v>
      </c>
    </row>
    <row r="15" spans="1:8" x14ac:dyDescent="0.2">
      <c r="A15" t="s">
        <v>307</v>
      </c>
      <c r="B15" s="7" t="s">
        <v>328</v>
      </c>
      <c r="C15" s="20" cm="1">
        <f t="array" ref="C15">_xll.BDP($A15,C$2)</f>
        <v>158.53</v>
      </c>
      <c r="D15" s="20" cm="1">
        <f t="array" ref="D15">_xll.BDP($A15,D$2)</f>
        <v>159.53</v>
      </c>
      <c r="E15" s="8" cm="1">
        <f t="array" ref="E15">_xll.BDP($A15,E$2)</f>
        <v>159.03</v>
      </c>
      <c r="F15" s="35">
        <f t="shared" si="4"/>
        <v>1.1594529999999998</v>
      </c>
      <c r="G15" s="35">
        <f t="shared" si="5"/>
        <v>1.1595530000000001</v>
      </c>
      <c r="H15" s="35">
        <f t="shared" si="6"/>
        <v>1.159503</v>
      </c>
    </row>
    <row r="16" spans="1:8" x14ac:dyDescent="0.2">
      <c r="A16" t="s">
        <v>308</v>
      </c>
      <c r="B16" s="7" t="s">
        <v>15</v>
      </c>
      <c r="C16" s="20" cm="1">
        <f t="array" ref="C16">_xll.BDP($A16,C$2)</f>
        <v>55.42</v>
      </c>
      <c r="D16" s="20" cm="1">
        <f t="array" ref="D16">_xll.BDP($A16,D$2)</f>
        <v>55.91</v>
      </c>
      <c r="E16" s="8" cm="1">
        <f t="array" ref="E16">_xll.BDP($A16,E$2)</f>
        <v>55.66</v>
      </c>
      <c r="F16" s="35">
        <f t="shared" si="4"/>
        <v>1.1491419999999999</v>
      </c>
      <c r="G16" s="35">
        <f t="shared" si="5"/>
        <v>1.1491909999999999</v>
      </c>
      <c r="H16" s="35">
        <f t="shared" si="6"/>
        <v>1.1491659999999999</v>
      </c>
    </row>
    <row r="17" spans="1:8" x14ac:dyDescent="0.2">
      <c r="A17" t="s">
        <v>309</v>
      </c>
      <c r="B17" s="7" t="s">
        <v>329</v>
      </c>
      <c r="C17" s="20" cm="1">
        <f t="array" ref="C17">_xll.BDP($A17,C$2)</f>
        <v>68.63</v>
      </c>
      <c r="D17" s="20" cm="1">
        <f t="array" ref="D17">_xll.BDP($A17,D$2)</f>
        <v>69.17</v>
      </c>
      <c r="E17" s="8" cm="1">
        <f t="array" ref="E17">_xll.BDP($A17,E$2)</f>
        <v>68.900000000000006</v>
      </c>
      <c r="F17" s="35">
        <f t="shared" si="4"/>
        <v>1.150463</v>
      </c>
      <c r="G17" s="35">
        <f t="shared" si="5"/>
        <v>1.150517</v>
      </c>
      <c r="H17" s="35">
        <f t="shared" si="6"/>
        <v>1.15049</v>
      </c>
    </row>
    <row r="18" spans="1:8" x14ac:dyDescent="0.2">
      <c r="A18" s="4" t="s">
        <v>310</v>
      </c>
      <c r="B18" s="7" t="s">
        <v>17</v>
      </c>
      <c r="C18" s="20" cm="1">
        <f t="array" ref="C18">_xll.BDP($A18,C$2)</f>
        <v>84.54</v>
      </c>
      <c r="D18" s="20" cm="1">
        <f t="array" ref="D18">_xll.BDP($A18,D$2)</f>
        <v>85.04</v>
      </c>
      <c r="E18" s="8" cm="1">
        <f t="array" ref="E18">_xll.BDP($A18,E$2)</f>
        <v>84.79</v>
      </c>
      <c r="F18" s="35">
        <f t="shared" si="4"/>
        <v>1.1520539999999999</v>
      </c>
      <c r="G18" s="35">
        <f t="shared" si="5"/>
        <v>1.152104</v>
      </c>
      <c r="H18" s="35">
        <f t="shared" si="6"/>
        <v>1.1520789999999999</v>
      </c>
    </row>
    <row r="19" spans="1:8" x14ac:dyDescent="0.2">
      <c r="A19" s="4" t="s">
        <v>311</v>
      </c>
      <c r="B19" s="7" t="s">
        <v>330</v>
      </c>
      <c r="C19" s="20" cm="1">
        <f t="array" ref="C19">_xll.BDP($A19,C$2)</f>
        <v>34.06</v>
      </c>
      <c r="D19" s="20" cm="1">
        <f t="array" ref="D19">_xll.BDP($A19,D$2)</f>
        <v>35.06</v>
      </c>
      <c r="E19" s="8" cm="1">
        <f t="array" ref="E19">_xll.BDP($A19,E$2)</f>
        <v>34.56</v>
      </c>
      <c r="F19" s="35">
        <f t="shared" si="4"/>
        <v>1.147006</v>
      </c>
      <c r="G19" s="35">
        <f t="shared" si="5"/>
        <v>1.147106</v>
      </c>
      <c r="H19" s="35">
        <f t="shared" si="6"/>
        <v>1.1470559999999999</v>
      </c>
    </row>
    <row r="20" spans="1:8" x14ac:dyDescent="0.2">
      <c r="A20" t="s">
        <v>312</v>
      </c>
      <c r="B20" s="7" t="s">
        <v>331</v>
      </c>
      <c r="C20" s="20" cm="1">
        <f t="array" ref="C20">_xll.BDP($A20,C$2)</f>
        <v>34.51</v>
      </c>
      <c r="D20" s="20" cm="1">
        <f t="array" ref="D20">_xll.BDP($A20,D$2)</f>
        <v>35.51</v>
      </c>
      <c r="E20" s="8" cm="1">
        <f t="array" ref="E20">_xll.BDP($A20,E$2)</f>
        <v>35.01</v>
      </c>
      <c r="F20" s="35">
        <f t="shared" si="4"/>
        <v>1.147051</v>
      </c>
      <c r="G20" s="35">
        <f t="shared" si="5"/>
        <v>1.147151</v>
      </c>
      <c r="H20" s="35">
        <f t="shared" si="6"/>
        <v>1.1471009999999999</v>
      </c>
    </row>
    <row r="21" spans="1:8" x14ac:dyDescent="0.2">
      <c r="A21" t="s">
        <v>313</v>
      </c>
      <c r="B21" s="7" t="s">
        <v>19</v>
      </c>
      <c r="C21" s="20" cm="1">
        <f t="array" ref="C21">_xll.BDP($A21,C$2)</f>
        <v>124.39</v>
      </c>
      <c r="D21" s="20" cm="1">
        <f t="array" ref="D21">_xll.BDP($A21,D$2)</f>
        <v>125.82</v>
      </c>
      <c r="E21" s="8" cm="1">
        <f t="array" ref="E21">_xll.BDP($A21,E$2)</f>
        <v>125.1</v>
      </c>
      <c r="F21" s="35">
        <f t="shared" si="4"/>
        <v>1.156039</v>
      </c>
      <c r="G21" s="35">
        <f t="shared" si="5"/>
        <v>1.156182</v>
      </c>
      <c r="H21" s="35">
        <f t="shared" si="6"/>
        <v>1.15611</v>
      </c>
    </row>
    <row r="22" spans="1:8" x14ac:dyDescent="0.2">
      <c r="A22" t="s">
        <v>314</v>
      </c>
      <c r="B22" s="7" t="s">
        <v>332</v>
      </c>
      <c r="C22" s="20" cm="1">
        <f t="array" ref="C22">_xll.BDP($A22,C$2)</f>
        <v>74.98</v>
      </c>
      <c r="D22" s="20" cm="1">
        <f t="array" ref="D22">_xll.BDP($A22,D$2)</f>
        <v>75.98</v>
      </c>
      <c r="E22" s="8" cm="1">
        <f t="array" ref="E22">_xll.BDP($A22,E$2)</f>
        <v>75.48</v>
      </c>
      <c r="F22" s="35">
        <f t="shared" si="4"/>
        <v>1.151098</v>
      </c>
      <c r="G22" s="35">
        <f t="shared" si="5"/>
        <v>1.1511979999999999</v>
      </c>
      <c r="H22" s="35">
        <f t="shared" si="6"/>
        <v>1.1511480000000001</v>
      </c>
    </row>
    <row r="23" spans="1:8" x14ac:dyDescent="0.2">
      <c r="A23" t="s">
        <v>315</v>
      </c>
      <c r="B23" s="5" t="s">
        <v>333</v>
      </c>
      <c r="C23" s="20" cm="1">
        <f t="array" ref="C23">_xll.BDP($A23,C$2)</f>
        <v>78.180000000000007</v>
      </c>
      <c r="D23" s="20" cm="1">
        <f t="array" ref="D23">_xll.BDP($A23,D$2)</f>
        <v>79.180000000000007</v>
      </c>
      <c r="E23" s="8" cm="1">
        <f t="array" ref="E23">_xll.BDP($A23,E$2)</f>
        <v>78.680000000000007</v>
      </c>
      <c r="F23" s="35">
        <f t="shared" si="4"/>
        <v>1.1514180000000001</v>
      </c>
      <c r="G23" s="35">
        <f t="shared" si="5"/>
        <v>1.151518</v>
      </c>
      <c r="H23" s="35">
        <f t="shared" si="6"/>
        <v>1.1514679999999999</v>
      </c>
    </row>
    <row r="24" spans="1:8" x14ac:dyDescent="0.2">
      <c r="A24" s="4" t="s">
        <v>316</v>
      </c>
      <c r="B24" s="5" t="s">
        <v>21</v>
      </c>
      <c r="C24" s="20" cm="1">
        <f t="array" ref="C24">_xll.BDP($A24,C$2)</f>
        <v>165.67</v>
      </c>
      <c r="D24" s="20" cm="1">
        <f t="array" ref="D24">_xll.BDP($A24,D$2)</f>
        <v>167.01</v>
      </c>
      <c r="E24" s="8" cm="1">
        <f t="array" ref="E24">_xll.BDP($A24,E$2)</f>
        <v>166.34</v>
      </c>
      <c r="F24" s="35">
        <f t="shared" si="4"/>
        <v>1.1601669999999999</v>
      </c>
      <c r="G24" s="35">
        <f t="shared" si="5"/>
        <v>1.160301</v>
      </c>
      <c r="H24" s="35">
        <f t="shared" si="6"/>
        <v>1.160234</v>
      </c>
    </row>
    <row r="25" spans="1:8" x14ac:dyDescent="0.2">
      <c r="A25" s="4" t="s">
        <v>317</v>
      </c>
      <c r="B25" s="5" t="s">
        <v>25</v>
      </c>
      <c r="C25" s="20" cm="1">
        <f t="array" ref="C25">_xll.BDP($A25,C$2)</f>
        <v>325.52999999999997</v>
      </c>
      <c r="D25" s="20" cm="1">
        <f t="array" ref="D25">_xll.BDP($A25,D$2)</f>
        <v>330.38</v>
      </c>
      <c r="E25" s="8" cm="1">
        <f t="array" ref="E25">_xll.BDP($A25,E$2)</f>
        <v>327.95</v>
      </c>
      <c r="F25" s="35">
        <f t="shared" si="4"/>
        <v>1.176153</v>
      </c>
      <c r="G25" s="35">
        <f t="shared" si="5"/>
        <v>1.1766379999999999</v>
      </c>
      <c r="H25" s="35">
        <f t="shared" si="6"/>
        <v>1.1763949999999999</v>
      </c>
    </row>
    <row r="26" spans="1:8" x14ac:dyDescent="0.2">
      <c r="A26" t="s">
        <v>318</v>
      </c>
      <c r="B26" s="7" t="s">
        <v>27</v>
      </c>
      <c r="C26" s="20" cm="1">
        <f t="array" ref="C26">_xll.BDP($A26,C$2)</f>
        <v>481.23</v>
      </c>
      <c r="D26" s="20" cm="1">
        <f t="array" ref="D26">_xll.BDP($A26,D$2)</f>
        <v>487.52</v>
      </c>
      <c r="E26" s="8" cm="1">
        <f t="array" ref="E26">_xll.BDP($A26,E$2)</f>
        <v>484.38</v>
      </c>
      <c r="F26" s="35">
        <f t="shared" si="4"/>
        <v>1.1917229999999999</v>
      </c>
      <c r="G26" s="35">
        <f t="shared" si="5"/>
        <v>1.1923519999999999</v>
      </c>
      <c r="H26" s="35">
        <f t="shared" si="6"/>
        <v>1.1920379999999999</v>
      </c>
    </row>
    <row r="27" spans="1:8" x14ac:dyDescent="0.2">
      <c r="A27" t="s">
        <v>319</v>
      </c>
      <c r="B27" s="7" t="s">
        <v>29</v>
      </c>
      <c r="C27" s="20" cm="1">
        <f t="array" ref="C27">_xll.BDP($A27,C$2)</f>
        <v>629.16999999999996</v>
      </c>
      <c r="D27" s="20" cm="1">
        <f t="array" ref="D27">_xll.BDP($A27,D$2)</f>
        <v>637.73</v>
      </c>
      <c r="E27" s="8" cm="1">
        <f t="array" ref="E27">_xll.BDP($A27,E$2)</f>
        <v>633.45000000000005</v>
      </c>
      <c r="F27" s="35">
        <f t="shared" si="4"/>
        <v>1.2065169999999998</v>
      </c>
      <c r="G27" s="35">
        <f t="shared" si="5"/>
        <v>1.207373</v>
      </c>
      <c r="H27" s="35">
        <f t="shared" si="6"/>
        <v>1.2069449999999999</v>
      </c>
    </row>
    <row r="28" spans="1:8" x14ac:dyDescent="0.2">
      <c r="A28" t="s">
        <v>320</v>
      </c>
      <c r="B28" s="7" t="s">
        <v>31</v>
      </c>
      <c r="C28" s="20" cm="1">
        <f t="array" ref="C28">_xll.BDP($A28,C$2)</f>
        <v>777.05</v>
      </c>
      <c r="D28" s="20" cm="1">
        <f t="array" ref="D28">_xll.BDP($A28,D$2)</f>
        <v>787.95</v>
      </c>
      <c r="E28" s="8" cm="1">
        <f t="array" ref="E28">_xll.BDP($A28,E$2)</f>
        <v>782.5</v>
      </c>
      <c r="F28" s="35">
        <f t="shared" si="4"/>
        <v>1.2213049999999999</v>
      </c>
      <c r="G28" s="35">
        <f t="shared" si="5"/>
        <v>1.2223949999999999</v>
      </c>
      <c r="H28" s="35">
        <f t="shared" si="6"/>
        <v>1.2218499999999999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Bid_Ask</vt:lpstr>
      <vt:lpstr>Mids BGN</vt:lpstr>
      <vt:lpstr>Mids GFI</vt:lpstr>
      <vt:lpstr>FWD pts DEPOs</vt:lpstr>
      <vt:lpstr>EURUSD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Barrera</dc:creator>
  <cp:lastModifiedBy>Ignacio Barrera</cp:lastModifiedBy>
  <dcterms:created xsi:type="dcterms:W3CDTF">2025-07-23T21:36:06Z</dcterms:created>
  <dcterms:modified xsi:type="dcterms:W3CDTF">2026-07-15T01:39:19Z</dcterms:modified>
</cp:coreProperties>
</file>